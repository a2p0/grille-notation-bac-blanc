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Élèves" sheetId="1" state="visible" r:id="rId1"/>
    <sheet name="BB2 12-05-26" sheetId="2" state="visible" r:id="rId2"/>
    <sheet name="Mode d'emploi"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333333"/>
      <sz val="11"/>
    </font>
    <font>
      <name val="Calibri"/>
      <b val="1"/>
      <sz val="10"/>
    </font>
    <font>
      <name val="Calibri"/>
      <b val="1"/>
      <sz val="11"/>
    </font>
    <font>
      <name val="Calibri"/>
      <sz val="10"/>
    </font>
    <font>
      <name val="Calibri"/>
      <b val="1"/>
      <color rgb="00CC0000"/>
      <sz val="10"/>
    </font>
    <font>
      <name val="Calibri"/>
      <b val="1"/>
      <color rgb="002E5C8A"/>
      <sz val="10"/>
    </font>
    <font>
      <name val="Calibri"/>
      <b val="1"/>
      <sz val="12"/>
    </font>
    <font>
      <b val="1"/>
    </font>
    <font>
      <name val="Calibri"/>
      <b val="1"/>
      <color rgb="00FFFFFF"/>
      <sz val="16"/>
    </font>
    <font>
      <name val="Calibri"/>
      <b val="1"/>
      <color rgb="002E5C8A"/>
      <sz val="12"/>
    </font>
    <font>
      <name val="Calibri"/>
      <i val="1"/>
      <color rgb="00888888"/>
      <sz val="9"/>
    </font>
  </fonts>
  <fills count="7">
    <fill>
      <patternFill/>
    </fill>
    <fill>
      <patternFill patternType="gray125"/>
    </fill>
    <fill>
      <patternFill patternType="solid">
        <fgColor rgb="002E5C8A"/>
      </patternFill>
    </fill>
    <fill>
      <patternFill patternType="solid">
        <fgColor rgb="00D4E1F1"/>
      </patternFill>
    </fill>
    <fill>
      <patternFill patternType="solid">
        <fgColor rgb="00FFE699"/>
      </patternFill>
    </fill>
    <fill>
      <patternFill patternType="solid">
        <fgColor rgb="00FFF2CC"/>
      </patternFill>
    </fill>
    <fill>
      <patternFill patternType="solid">
        <fgColor rgb="00E2EFDA"/>
      </patternFill>
    </fill>
  </fills>
  <borders count="10">
    <border>
      <left/>
      <right/>
      <top/>
      <bottom/>
      <diagonal/>
    </border>
    <border>
      <left style="thin">
        <color rgb="00888888"/>
      </left>
      <right style="thin">
        <color rgb="00888888"/>
      </right>
      <top style="thin">
        <color rgb="00888888"/>
      </top>
      <bottom style="thin">
        <color rgb="00888888"/>
      </bottom>
    </border>
    <border>
      <left style="thin">
        <color rgb="00888888"/>
      </left>
      <right/>
      <top/>
      <bottom/>
      <diagonal/>
    </border>
    <border>
      <left style="thin">
        <color rgb="00888888"/>
      </left>
      <right style="thin">
        <color rgb="00888888"/>
      </right>
      <top/>
      <bottom/>
      <diagonal/>
    </border>
    <border>
      <left style="thin">
        <color rgb="00888888"/>
      </left>
      <right style="thin">
        <color rgb="00888888"/>
      </right>
      <top/>
      <bottom style="thin">
        <color rgb="00888888"/>
      </bottom>
      <diagonal/>
    </border>
    <border>
      <left/>
      <right/>
      <top style="thin">
        <color rgb="00888888"/>
      </top>
      <bottom/>
      <diagonal/>
    </border>
    <border>
      <left/>
      <right style="thin">
        <color rgb="00888888"/>
      </right>
      <top style="thin">
        <color rgb="00888888"/>
      </top>
      <bottom/>
      <diagonal/>
    </border>
    <border>
      <left/>
      <right/>
      <top style="thin">
        <color rgb="00888888"/>
      </top>
      <bottom style="thin">
        <color rgb="00888888"/>
      </bottom>
      <diagonal/>
    </border>
    <border>
      <left/>
      <right style="thin">
        <color rgb="00888888"/>
      </right>
      <top style="thin">
        <color rgb="00888888"/>
      </top>
      <bottom style="thin">
        <color rgb="00888888"/>
      </bottom>
      <diagonal/>
    </border>
    <border>
      <left style="medium">
        <color rgb="00000000"/>
      </left>
      <right style="medium">
        <color rgb="00000000"/>
      </right>
      <top style="medium">
        <color rgb="00000000"/>
      </top>
      <bottom style="medium">
        <color rgb="00000000"/>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xf>
    <xf numFmtId="0" fontId="3" fillId="3"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applyProtection="1" pivotButton="0" quotePrefix="0" xfId="0">
      <alignment horizontal="left" vertical="center" wrapText="1"/>
      <protection locked="0" hidden="0"/>
    </xf>
    <xf numFmtId="2" fontId="9" fillId="0" borderId="1" applyAlignment="1" pivotButton="0" quotePrefix="0" xfId="0">
      <alignment horizontal="center" vertical="center"/>
    </xf>
    <xf numFmtId="2" fontId="0" fillId="0" borderId="1" applyAlignment="1" pivotButton="0" quotePrefix="0" xfId="0">
      <alignment horizontal="center" vertical="center"/>
    </xf>
    <xf numFmtId="0" fontId="3" fillId="3" borderId="0" pivotButton="0" quotePrefix="0" xfId="0"/>
    <xf numFmtId="2" fontId="3" fillId="3" borderId="0" pivotButton="0" quotePrefix="0" xfId="0"/>
    <xf numFmtId="0" fontId="2" fillId="0" borderId="0" applyAlignment="1" pivotButton="0" quotePrefix="0" xfId="0">
      <alignment horizontal="center" vertical="center"/>
    </xf>
    <xf numFmtId="0" fontId="3" fillId="3" borderId="1" applyAlignment="1" pivotButton="0" quotePrefix="0" xfId="0">
      <alignment horizontal="center" vertical="bottom" textRotation="90"/>
    </xf>
    <xf numFmtId="0" fontId="0" fillId="0" borderId="7" pivotButton="0" quotePrefix="0" xfId="0"/>
    <xf numFmtId="0" fontId="0" fillId="0" borderId="8" pivotButton="0" quotePrefix="0" xfId="0"/>
    <xf numFmtId="0" fontId="0" fillId="0" borderId="4" pivotButton="0" quotePrefix="0" xfId="0"/>
    <xf numFmtId="0" fontId="0" fillId="4" borderId="0" pivotButton="0" quotePrefix="0" xfId="0"/>
    <xf numFmtId="0" fontId="4" fillId="4" borderId="9" applyAlignment="1" pivotButton="0" quotePrefix="0" xfId="0">
      <alignment horizontal="center" vertical="center"/>
    </xf>
    <xf numFmtId="0" fontId="4" fillId="4" borderId="0" applyAlignment="1" pivotButton="0" quotePrefix="0" xfId="0">
      <alignment horizontal="center" vertical="center"/>
    </xf>
    <xf numFmtId="0" fontId="4" fillId="4" borderId="9" applyAlignment="1" pivotButton="0" quotePrefix="0" xfId="0">
      <alignment horizontal="left" vertical="center" wrapText="1"/>
    </xf>
    <xf numFmtId="2" fontId="4" fillId="5" borderId="9" applyAlignment="1" applyProtection="1" pivotButton="0" quotePrefix="0" xfId="0">
      <alignment horizontal="center" vertical="center"/>
      <protection locked="0" hidden="0"/>
    </xf>
    <xf numFmtId="2" fontId="7" fillId="4" borderId="9"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top" wrapText="1"/>
    </xf>
    <xf numFmtId="2" fontId="5" fillId="5"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protection locked="0" hidden="0"/>
    </xf>
    <xf numFmtId="2" fontId="5" fillId="6" borderId="1" applyAlignment="1" pivotButton="0" quotePrefix="0" xfId="0">
      <alignment horizontal="center" vertical="center"/>
    </xf>
    <xf numFmtId="0" fontId="6" fillId="0" borderId="1" applyAlignment="1" pivotButton="0" quotePrefix="0" xfId="0">
      <alignment horizontal="center" vertical="center"/>
    </xf>
    <xf numFmtId="0" fontId="3" fillId="0" borderId="0" applyAlignment="1" pivotButton="0" quotePrefix="0" xfId="0">
      <alignment horizontal="left" vertical="center" wrapText="1"/>
    </xf>
    <xf numFmtId="2" fontId="3" fillId="5" borderId="9" applyAlignment="1" pivotButton="0" quotePrefix="0" xfId="0">
      <alignment horizontal="center" vertical="center"/>
    </xf>
    <xf numFmtId="0" fontId="3" fillId="6" borderId="0" applyAlignment="1" pivotButton="0" quotePrefix="0" xfId="0">
      <alignment horizontal="left" vertical="center" wrapText="1"/>
    </xf>
    <xf numFmtId="2" fontId="8" fillId="6" borderId="9" applyAlignment="1" pivotButton="0" quotePrefix="0" xfId="0">
      <alignment horizontal="center" vertical="center"/>
    </xf>
    <xf numFmtId="2" fontId="4" fillId="6" borderId="1" applyAlignment="1" pivotButton="0" quotePrefix="0" xfId="0">
      <alignment horizontal="center" vertical="center"/>
    </xf>
    <xf numFmtId="9" fontId="5" fillId="0" borderId="1" applyAlignment="1" pivotButton="0" quotePrefix="0" xfId="0">
      <alignment horizontal="center" vertical="center"/>
    </xf>
    <xf numFmtId="2" fontId="5" fillId="0" borderId="1" applyAlignment="1" pivotButton="0" quotePrefix="0" xfId="0">
      <alignment horizontal="center" vertical="center"/>
    </xf>
    <xf numFmtId="0" fontId="10" fillId="2" borderId="0" applyAlignment="1" pivotButton="0" quotePrefix="0" xfId="0">
      <alignment horizontal="center" vertical="center"/>
    </xf>
    <xf numFmtId="0" fontId="5" fillId="0" borderId="0" applyAlignment="1" pivotButton="0" quotePrefix="0" xfId="0">
      <alignment horizontal="left" vertical="top" wrapText="1"/>
    </xf>
    <xf numFmtId="0" fontId="11" fillId="0" borderId="0" applyAlignment="1" pivotButton="0" quotePrefix="0" xfId="0">
      <alignment horizontal="left" vertical="center" wrapText="1"/>
    </xf>
    <xf numFmtId="0" fontId="12" fillId="0" borderId="0" pivotButton="0" quotePrefix="0" xfId="0"/>
  </cellXfs>
  <cellStyles count="1">
    <cellStyle name="Normal" xfId="0" builtinId="0" hidden="0"/>
  </cellStyles>
  <dxfs count="7">
    <dxf>
      <font>
        <i val="1"/>
        <color rgb="00BBBBBB"/>
      </font>
    </dxf>
    <dxf>
      <font>
        <b val="1"/>
        <color rgb="00CC0000"/>
      </font>
    </dxf>
    <dxf>
      <font>
        <b val="1"/>
        <color rgb="00008000"/>
      </font>
    </dxf>
    <dxf>
      <fill>
        <patternFill patternType="solid">
          <fgColor rgb="00C6EFCE"/>
        </patternFill>
      </fill>
    </dxf>
    <dxf>
      <fill>
        <patternFill patternType="solid">
          <fgColor rgb="00FFC7CE"/>
        </patternFill>
      </fill>
    </dxf>
    <dxf>
      <fill>
        <patternFill patternType="solid">
          <fgColor rgb="00D9D9D9"/>
        </patternFill>
      </fill>
    </dxf>
    <dxf>
      <font>
        <b val="1"/>
        <color rgb="00CC000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16" customWidth="1" min="3" max="3"/>
    <col width="16" customWidth="1" min="4" max="4"/>
    <col width="14" customWidth="1" min="5" max="5"/>
    <col width="14" customWidth="1" min="6" max="6"/>
  </cols>
  <sheetData>
    <row r="1" ht="24" customHeight="1">
      <c r="A1" s="1" t="inlineStr">
        <is>
          <t>Liste de la classe — Synthèse des évaluations</t>
        </is>
      </c>
    </row>
    <row r="3">
      <c r="A3" s="2" t="inlineStr">
        <is>
          <t>N°</t>
        </is>
      </c>
      <c r="B3" s="2" t="inlineStr">
        <is>
          <t>Nom Prénom</t>
        </is>
      </c>
      <c r="C3" s="2" t="inlineStr">
        <is>
          <t>BB2 12-05-26 /20</t>
        </is>
      </c>
      <c r="D3" s="2" t="inlineStr">
        <is>
          <t>BB2 12-05-26 /12</t>
        </is>
      </c>
      <c r="E3" s="2" t="inlineStr">
        <is>
          <t>Moyenne /20</t>
        </is>
      </c>
      <c r="F3" s="2" t="inlineStr">
        <is>
          <t>Moyenne /12</t>
        </is>
      </c>
    </row>
    <row r="4">
      <c r="A4" s="3" t="n">
        <v>1</v>
      </c>
      <c r="B4" s="4" t="inlineStr">
        <is>
          <t>Élève 1</t>
        </is>
      </c>
      <c r="C4" s="5">
        <f>IFERROR('BB2 12-05-26'!H47,"")</f>
        <v/>
      </c>
      <c r="D4" s="6">
        <f>IFERROR('BB2 12-05-26'!H48,"")</f>
        <v/>
      </c>
      <c r="E4" s="6">
        <f>IF(C4="","",C4)</f>
        <v/>
      </c>
      <c r="F4" s="6">
        <f>IF(D4="","",D4)</f>
        <v/>
      </c>
    </row>
    <row r="5">
      <c r="A5" s="3" t="n">
        <v>2</v>
      </c>
      <c r="B5" s="4" t="inlineStr">
        <is>
          <t>Élève 2</t>
        </is>
      </c>
      <c r="C5" s="5">
        <f>IFERROR('BB2 12-05-26'!K47,"")</f>
        <v/>
      </c>
      <c r="D5" s="6">
        <f>IFERROR('BB2 12-05-26'!K48,"")</f>
        <v/>
      </c>
      <c r="E5" s="6">
        <f>IF(C5="","",C5)</f>
        <v/>
      </c>
      <c r="F5" s="6">
        <f>IF(D5="","",D5)</f>
        <v/>
      </c>
    </row>
    <row r="6">
      <c r="A6" s="3" t="n">
        <v>3</v>
      </c>
      <c r="B6" s="4" t="inlineStr">
        <is>
          <t>Élève 3</t>
        </is>
      </c>
      <c r="C6" s="5">
        <f>IFERROR('BB2 12-05-26'!N47,"")</f>
        <v/>
      </c>
      <c r="D6" s="6">
        <f>IFERROR('BB2 12-05-26'!N48,"")</f>
        <v/>
      </c>
      <c r="E6" s="6">
        <f>IF(C6="","",C6)</f>
        <v/>
      </c>
      <c r="F6" s="6">
        <f>IF(D6="","",D6)</f>
        <v/>
      </c>
    </row>
    <row r="7">
      <c r="A7" s="3" t="n">
        <v>4</v>
      </c>
      <c r="B7" s="4" t="inlineStr">
        <is>
          <t>Élève 4</t>
        </is>
      </c>
      <c r="C7" s="5">
        <f>IFERROR('BB2 12-05-26'!Q47,"")</f>
        <v/>
      </c>
      <c r="D7" s="6">
        <f>IFERROR('BB2 12-05-26'!Q48,"")</f>
        <v/>
      </c>
      <c r="E7" s="6">
        <f>IF(C7="","",C7)</f>
        <v/>
      </c>
      <c r="F7" s="6">
        <f>IF(D7="","",D7)</f>
        <v/>
      </c>
    </row>
    <row r="8">
      <c r="A8" s="3" t="n">
        <v>5</v>
      </c>
      <c r="B8" s="4" t="inlineStr">
        <is>
          <t>Élève 5</t>
        </is>
      </c>
      <c r="C8" s="5">
        <f>IFERROR('BB2 12-05-26'!T47,"")</f>
        <v/>
      </c>
      <c r="D8" s="6">
        <f>IFERROR('BB2 12-05-26'!T48,"")</f>
        <v/>
      </c>
      <c r="E8" s="6">
        <f>IF(C8="","",C8)</f>
        <v/>
      </c>
      <c r="F8" s="6">
        <f>IF(D8="","",D8)</f>
        <v/>
      </c>
    </row>
    <row r="9">
      <c r="A9" s="3" t="n">
        <v>6</v>
      </c>
      <c r="B9" s="4" t="inlineStr">
        <is>
          <t>Élève 6</t>
        </is>
      </c>
      <c r="C9" s="5">
        <f>IFERROR('BB2 12-05-26'!W47,"")</f>
        <v/>
      </c>
      <c r="D9" s="6">
        <f>IFERROR('BB2 12-05-26'!W48,"")</f>
        <v/>
      </c>
      <c r="E9" s="6">
        <f>IF(C9="","",C9)</f>
        <v/>
      </c>
      <c r="F9" s="6">
        <f>IF(D9="","",D9)</f>
        <v/>
      </c>
    </row>
    <row r="10">
      <c r="A10" s="3" t="n">
        <v>7</v>
      </c>
      <c r="B10" s="4" t="inlineStr">
        <is>
          <t>Élève 7</t>
        </is>
      </c>
      <c r="C10" s="5">
        <f>IFERROR('BB2 12-05-26'!Z47,"")</f>
        <v/>
      </c>
      <c r="D10" s="6">
        <f>IFERROR('BB2 12-05-26'!Z48,"")</f>
        <v/>
      </c>
      <c r="E10" s="6">
        <f>IF(C10="","",C10)</f>
        <v/>
      </c>
      <c r="F10" s="6">
        <f>IF(D10="","",D10)</f>
        <v/>
      </c>
    </row>
    <row r="11">
      <c r="A11" s="3" t="n">
        <v>8</v>
      </c>
      <c r="B11" s="4" t="inlineStr">
        <is>
          <t>Élève 8</t>
        </is>
      </c>
      <c r="C11" s="5">
        <f>IFERROR('BB2 12-05-26'!AC47,"")</f>
        <v/>
      </c>
      <c r="D11" s="6">
        <f>IFERROR('BB2 12-05-26'!AC48,"")</f>
        <v/>
      </c>
      <c r="E11" s="6">
        <f>IF(C11="","",C11)</f>
        <v/>
      </c>
      <c r="F11" s="6">
        <f>IF(D11="","",D11)</f>
        <v/>
      </c>
    </row>
    <row r="12">
      <c r="A12" s="3" t="n">
        <v>9</v>
      </c>
      <c r="B12" s="4" t="inlineStr">
        <is>
          <t>Élève 9</t>
        </is>
      </c>
      <c r="C12" s="5">
        <f>IFERROR('BB2 12-05-26'!AF47,"")</f>
        <v/>
      </c>
      <c r="D12" s="6">
        <f>IFERROR('BB2 12-05-26'!AF48,"")</f>
        <v/>
      </c>
      <c r="E12" s="6">
        <f>IF(C12="","",C12)</f>
        <v/>
      </c>
      <c r="F12" s="6">
        <f>IF(D12="","",D12)</f>
        <v/>
      </c>
    </row>
    <row r="13">
      <c r="A13" s="3" t="n">
        <v>10</v>
      </c>
      <c r="B13" s="4" t="inlineStr">
        <is>
          <t>Élève 10</t>
        </is>
      </c>
      <c r="C13" s="5">
        <f>IFERROR('BB2 12-05-26'!AI47,"")</f>
        <v/>
      </c>
      <c r="D13" s="6">
        <f>IFERROR('BB2 12-05-26'!AI48,"")</f>
        <v/>
      </c>
      <c r="E13" s="6">
        <f>IF(C13="","",C13)</f>
        <v/>
      </c>
      <c r="F13" s="6">
        <f>IF(D13="","",D13)</f>
        <v/>
      </c>
    </row>
    <row r="14">
      <c r="A14" s="3" t="n">
        <v>11</v>
      </c>
      <c r="B14" s="4" t="inlineStr">
        <is>
          <t>Élève 11</t>
        </is>
      </c>
      <c r="C14" s="5">
        <f>IFERROR('BB2 12-05-26'!AL47,"")</f>
        <v/>
      </c>
      <c r="D14" s="6">
        <f>IFERROR('BB2 12-05-26'!AL48,"")</f>
        <v/>
      </c>
      <c r="E14" s="6">
        <f>IF(C14="","",C14)</f>
        <v/>
      </c>
      <c r="F14" s="6">
        <f>IF(D14="","",D14)</f>
        <v/>
      </c>
    </row>
    <row r="15">
      <c r="A15" s="3" t="n">
        <v>12</v>
      </c>
      <c r="B15" s="4" t="inlineStr">
        <is>
          <t>Élève 12</t>
        </is>
      </c>
      <c r="C15" s="5">
        <f>IFERROR('BB2 12-05-26'!AO47,"")</f>
        <v/>
      </c>
      <c r="D15" s="6">
        <f>IFERROR('BB2 12-05-26'!AO48,"")</f>
        <v/>
      </c>
      <c r="E15" s="6">
        <f>IF(C15="","",C15)</f>
        <v/>
      </c>
      <c r="F15" s="6">
        <f>IF(D15="","",D15)</f>
        <v/>
      </c>
    </row>
    <row r="16">
      <c r="A16" s="3" t="n">
        <v>13</v>
      </c>
      <c r="B16" s="4" t="inlineStr">
        <is>
          <t>Élève 13</t>
        </is>
      </c>
      <c r="C16" s="5">
        <f>IFERROR('BB2 12-05-26'!AR47,"")</f>
        <v/>
      </c>
      <c r="D16" s="6">
        <f>IFERROR('BB2 12-05-26'!AR48,"")</f>
        <v/>
      </c>
      <c r="E16" s="6">
        <f>IF(C16="","",C16)</f>
        <v/>
      </c>
      <c r="F16" s="6">
        <f>IF(D16="","",D16)</f>
        <v/>
      </c>
    </row>
    <row r="17">
      <c r="A17" s="3" t="n">
        <v>14</v>
      </c>
      <c r="B17" s="4" t="inlineStr">
        <is>
          <t>Élève 14</t>
        </is>
      </c>
      <c r="C17" s="5">
        <f>IFERROR('BB2 12-05-26'!AU47,"")</f>
        <v/>
      </c>
      <c r="D17" s="6">
        <f>IFERROR('BB2 12-05-26'!AU48,"")</f>
        <v/>
      </c>
      <c r="E17" s="6">
        <f>IF(C17="","",C17)</f>
        <v/>
      </c>
      <c r="F17" s="6">
        <f>IF(D17="","",D17)</f>
        <v/>
      </c>
    </row>
    <row r="18">
      <c r="A18" s="3" t="n">
        <v>15</v>
      </c>
      <c r="B18" s="4" t="inlineStr">
        <is>
          <t>Élève 15</t>
        </is>
      </c>
      <c r="C18" s="5">
        <f>IFERROR('BB2 12-05-26'!AX47,"")</f>
        <v/>
      </c>
      <c r="D18" s="6">
        <f>IFERROR('BB2 12-05-26'!AX48,"")</f>
        <v/>
      </c>
      <c r="E18" s="6">
        <f>IF(C18="","",C18)</f>
        <v/>
      </c>
      <c r="F18" s="6">
        <f>IF(D18="","",D18)</f>
        <v/>
      </c>
    </row>
    <row r="19">
      <c r="A19" s="3" t="n">
        <v>16</v>
      </c>
      <c r="B19" s="4" t="inlineStr">
        <is>
          <t>Élève 16</t>
        </is>
      </c>
      <c r="C19" s="5">
        <f>IFERROR('BB2 12-05-26'!BA47,"")</f>
        <v/>
      </c>
      <c r="D19" s="6">
        <f>IFERROR('BB2 12-05-26'!BA48,"")</f>
        <v/>
      </c>
      <c r="E19" s="6">
        <f>IF(C19="","",C19)</f>
        <v/>
      </c>
      <c r="F19" s="6">
        <f>IF(D19="","",D19)</f>
        <v/>
      </c>
    </row>
    <row r="20">
      <c r="A20" s="3" t="n">
        <v>17</v>
      </c>
      <c r="B20" s="4" t="inlineStr">
        <is>
          <t>Élève 17</t>
        </is>
      </c>
      <c r="C20" s="5">
        <f>IFERROR('BB2 12-05-26'!BD47,"")</f>
        <v/>
      </c>
      <c r="D20" s="6">
        <f>IFERROR('BB2 12-05-26'!BD48,"")</f>
        <v/>
      </c>
      <c r="E20" s="6">
        <f>IF(C20="","",C20)</f>
        <v/>
      </c>
      <c r="F20" s="6">
        <f>IF(D20="","",D20)</f>
        <v/>
      </c>
    </row>
    <row r="21">
      <c r="A21" s="3" t="n">
        <v>18</v>
      </c>
      <c r="B21" s="4" t="inlineStr">
        <is>
          <t>Élève 18</t>
        </is>
      </c>
      <c r="C21" s="5">
        <f>IFERROR('BB2 12-05-26'!BG47,"")</f>
        <v/>
      </c>
      <c r="D21" s="6">
        <f>IFERROR('BB2 12-05-26'!BG48,"")</f>
        <v/>
      </c>
      <c r="E21" s="6">
        <f>IF(C21="","",C21)</f>
        <v/>
      </c>
      <c r="F21" s="6">
        <f>IF(D21="","",D21)</f>
        <v/>
      </c>
    </row>
    <row r="22">
      <c r="A22" s="3" t="n">
        <v>19</v>
      </c>
      <c r="B22" s="4" t="inlineStr">
        <is>
          <t>Élève 19</t>
        </is>
      </c>
      <c r="C22" s="5">
        <f>IFERROR('BB2 12-05-26'!BJ47,"")</f>
        <v/>
      </c>
      <c r="D22" s="6">
        <f>IFERROR('BB2 12-05-26'!BJ48,"")</f>
        <v/>
      </c>
      <c r="E22" s="6">
        <f>IF(C22="","",C22)</f>
        <v/>
      </c>
      <c r="F22" s="6">
        <f>IF(D22="","",D22)</f>
        <v/>
      </c>
    </row>
    <row r="23">
      <c r="A23" s="3" t="n">
        <v>20</v>
      </c>
      <c r="B23" s="4" t="inlineStr">
        <is>
          <t>Élève 20</t>
        </is>
      </c>
      <c r="C23" s="5">
        <f>IFERROR('BB2 12-05-26'!BM47,"")</f>
        <v/>
      </c>
      <c r="D23" s="6">
        <f>IFERROR('BB2 12-05-26'!BM48,"")</f>
        <v/>
      </c>
      <c r="E23" s="6">
        <f>IF(C23="","",C23)</f>
        <v/>
      </c>
      <c r="F23" s="6">
        <f>IF(D23="","",D23)</f>
        <v/>
      </c>
    </row>
    <row r="24">
      <c r="A24" s="3" t="n">
        <v>21</v>
      </c>
      <c r="B24" s="4" t="inlineStr">
        <is>
          <t>Élève 21</t>
        </is>
      </c>
      <c r="C24" s="5">
        <f>IFERROR('BB2 12-05-26'!BP47,"")</f>
        <v/>
      </c>
      <c r="D24" s="6">
        <f>IFERROR('BB2 12-05-26'!BP48,"")</f>
        <v/>
      </c>
      <c r="E24" s="6">
        <f>IF(C24="","",C24)</f>
        <v/>
      </c>
      <c r="F24" s="6">
        <f>IF(D24="","",D24)</f>
        <v/>
      </c>
    </row>
    <row r="25">
      <c r="A25" s="3" t="n">
        <v>22</v>
      </c>
      <c r="B25" s="4" t="inlineStr">
        <is>
          <t>Élève 22</t>
        </is>
      </c>
      <c r="C25" s="5">
        <f>IFERROR('BB2 12-05-26'!BS47,"")</f>
        <v/>
      </c>
      <c r="D25" s="6">
        <f>IFERROR('BB2 12-05-26'!BS48,"")</f>
        <v/>
      </c>
      <c r="E25" s="6">
        <f>IF(C25="","",C25)</f>
        <v/>
      </c>
      <c r="F25" s="6">
        <f>IF(D25="","",D25)</f>
        <v/>
      </c>
    </row>
    <row r="26">
      <c r="A26" s="3" t="n">
        <v>23</v>
      </c>
      <c r="B26" s="4" t="inlineStr">
        <is>
          <t>Élève 23</t>
        </is>
      </c>
      <c r="C26" s="5">
        <f>IFERROR('BB2 12-05-26'!BV47,"")</f>
        <v/>
      </c>
      <c r="D26" s="6">
        <f>IFERROR('BB2 12-05-26'!BV48,"")</f>
        <v/>
      </c>
      <c r="E26" s="6">
        <f>IF(C26="","",C26)</f>
        <v/>
      </c>
      <c r="F26" s="6">
        <f>IF(D26="","",D26)</f>
        <v/>
      </c>
    </row>
    <row r="27">
      <c r="A27" s="3" t="n">
        <v>24</v>
      </c>
      <c r="B27" s="4" t="inlineStr">
        <is>
          <t>Élève 24</t>
        </is>
      </c>
      <c r="C27" s="5">
        <f>IFERROR('BB2 12-05-26'!BY47,"")</f>
        <v/>
      </c>
      <c r="D27" s="6">
        <f>IFERROR('BB2 12-05-26'!BY48,"")</f>
        <v/>
      </c>
      <c r="E27" s="6">
        <f>IF(C27="","",C27)</f>
        <v/>
      </c>
      <c r="F27" s="6">
        <f>IF(D27="","",D27)</f>
        <v/>
      </c>
    </row>
    <row r="28">
      <c r="A28" s="3" t="n">
        <v>25</v>
      </c>
      <c r="B28" s="4" t="inlineStr"/>
      <c r="C28" s="5">
        <f>IFERROR('BB2 12-05-26'!CB47,"")</f>
        <v/>
      </c>
      <c r="D28" s="6">
        <f>IFERROR('BB2 12-05-26'!CB48,"")</f>
        <v/>
      </c>
      <c r="E28" s="6">
        <f>IF(C28="","",C28)</f>
        <v/>
      </c>
      <c r="F28" s="6">
        <f>IF(D28="","",D28)</f>
        <v/>
      </c>
    </row>
    <row r="29">
      <c r="A29" s="3" t="n">
        <v>26</v>
      </c>
      <c r="B29" s="4" t="inlineStr"/>
      <c r="C29" s="5">
        <f>IFERROR('BB2 12-05-26'!CE47,"")</f>
        <v/>
      </c>
      <c r="D29" s="6">
        <f>IFERROR('BB2 12-05-26'!CE48,"")</f>
        <v/>
      </c>
      <c r="E29" s="6">
        <f>IF(C29="","",C29)</f>
        <v/>
      </c>
      <c r="F29" s="6">
        <f>IF(D29="","",D29)</f>
        <v/>
      </c>
    </row>
    <row r="30">
      <c r="A30" s="3" t="n">
        <v>27</v>
      </c>
      <c r="B30" s="4" t="inlineStr"/>
      <c r="C30" s="5">
        <f>IFERROR('BB2 12-05-26'!CH47,"")</f>
        <v/>
      </c>
      <c r="D30" s="6">
        <f>IFERROR('BB2 12-05-26'!CH48,"")</f>
        <v/>
      </c>
      <c r="E30" s="6">
        <f>IF(C30="","",C30)</f>
        <v/>
      </c>
      <c r="F30" s="6">
        <f>IF(D30="","",D30)</f>
        <v/>
      </c>
    </row>
    <row r="31">
      <c r="A31" s="3" t="n">
        <v>28</v>
      </c>
      <c r="B31" s="4" t="inlineStr"/>
      <c r="C31" s="5">
        <f>IFERROR('BB2 12-05-26'!CK47,"")</f>
        <v/>
      </c>
      <c r="D31" s="6">
        <f>IFERROR('BB2 12-05-26'!CK48,"")</f>
        <v/>
      </c>
      <c r="E31" s="6">
        <f>IF(C31="","",C31)</f>
        <v/>
      </c>
      <c r="F31" s="6">
        <f>IF(D31="","",D31)</f>
        <v/>
      </c>
    </row>
    <row r="32">
      <c r="A32" s="3" t="n">
        <v>29</v>
      </c>
      <c r="B32" s="4" t="inlineStr"/>
      <c r="C32" s="5">
        <f>IFERROR('BB2 12-05-26'!CN47,"")</f>
        <v/>
      </c>
      <c r="D32" s="6">
        <f>IFERROR('BB2 12-05-26'!CN48,"")</f>
        <v/>
      </c>
      <c r="E32" s="6">
        <f>IF(C32="","",C32)</f>
        <v/>
      </c>
      <c r="F32" s="6">
        <f>IF(D32="","",D32)</f>
        <v/>
      </c>
    </row>
    <row r="33">
      <c r="A33" s="3" t="n">
        <v>30</v>
      </c>
      <c r="B33" s="4" t="inlineStr"/>
      <c r="C33" s="5">
        <f>IFERROR('BB2 12-05-26'!CQ47,"")</f>
        <v/>
      </c>
      <c r="D33" s="6">
        <f>IFERROR('BB2 12-05-26'!CQ48,"")</f>
        <v/>
      </c>
      <c r="E33" s="6">
        <f>IF(C33="","",C33)</f>
        <v/>
      </c>
      <c r="F33" s="6">
        <f>IF(D33="","",D33)</f>
        <v/>
      </c>
    </row>
    <row r="35">
      <c r="B35" s="7" t="inlineStr">
        <is>
          <t>Moyenne classe</t>
        </is>
      </c>
      <c r="C35" s="8">
        <f>IFERROR(AVERAGE(C4:C33),"")</f>
        <v/>
      </c>
      <c r="D35" s="8">
        <f>IFERROR(AVERAGE(D4:D33),"")</f>
        <v/>
      </c>
    </row>
  </sheetData>
  <sheetProtection selectLockedCells="0" selectUnlockedCells="0" sheet="1" objects="0" insertRows="1" insertHyperlinks="1" autoFilter="1" scenarios="0" formatColumns="1" deleteColumns="1" insertColumns="1" pivotTables="1" deleteRows="1" formatCells="1" formatRows="1" sort="1"/>
  <mergeCells count="1">
    <mergeCell ref="A1:F1"/>
  </mergeCells>
  <conditionalFormatting sqref="A4:F4">
    <cfRule type="expression" priority="1" dxfId="0">
      <formula>$B4=""</formula>
    </cfRule>
  </conditionalFormatting>
  <conditionalFormatting sqref="A5:F5">
    <cfRule type="expression" priority="2" dxfId="0">
      <formula>$B5=""</formula>
    </cfRule>
  </conditionalFormatting>
  <conditionalFormatting sqref="A6:F6">
    <cfRule type="expression" priority="3" dxfId="0">
      <formula>$B6=""</formula>
    </cfRule>
  </conditionalFormatting>
  <conditionalFormatting sqref="A7:F7">
    <cfRule type="expression" priority="4" dxfId="0">
      <formula>$B7=""</formula>
    </cfRule>
  </conditionalFormatting>
  <conditionalFormatting sqref="A8:F8">
    <cfRule type="expression" priority="5" dxfId="0">
      <formula>$B8=""</formula>
    </cfRule>
  </conditionalFormatting>
  <conditionalFormatting sqref="A9:F9">
    <cfRule type="expression" priority="6" dxfId="0">
      <formula>$B9=""</formula>
    </cfRule>
  </conditionalFormatting>
  <conditionalFormatting sqref="A10:F10">
    <cfRule type="expression" priority="7" dxfId="0">
      <formula>$B10=""</formula>
    </cfRule>
  </conditionalFormatting>
  <conditionalFormatting sqref="A11:F11">
    <cfRule type="expression" priority="8" dxfId="0">
      <formula>$B11=""</formula>
    </cfRule>
  </conditionalFormatting>
  <conditionalFormatting sqref="A12:F12">
    <cfRule type="expression" priority="9" dxfId="0">
      <formula>$B12=""</formula>
    </cfRule>
  </conditionalFormatting>
  <conditionalFormatting sqref="A13:F13">
    <cfRule type="expression" priority="10" dxfId="0">
      <formula>$B13=""</formula>
    </cfRule>
  </conditionalFormatting>
  <conditionalFormatting sqref="A14:F14">
    <cfRule type="expression" priority="11" dxfId="0">
      <formula>$B14=""</formula>
    </cfRule>
  </conditionalFormatting>
  <conditionalFormatting sqref="A15:F15">
    <cfRule type="expression" priority="12" dxfId="0">
      <formula>$B15=""</formula>
    </cfRule>
  </conditionalFormatting>
  <conditionalFormatting sqref="A16:F16">
    <cfRule type="expression" priority="13" dxfId="0">
      <formula>$B16=""</formula>
    </cfRule>
  </conditionalFormatting>
  <conditionalFormatting sqref="A17:F17">
    <cfRule type="expression" priority="14" dxfId="0">
      <formula>$B17=""</formula>
    </cfRule>
  </conditionalFormatting>
  <conditionalFormatting sqref="A18:F18">
    <cfRule type="expression" priority="15" dxfId="0">
      <formula>$B18=""</formula>
    </cfRule>
  </conditionalFormatting>
  <conditionalFormatting sqref="A19:F19">
    <cfRule type="expression" priority="16" dxfId="0">
      <formula>$B19=""</formula>
    </cfRule>
  </conditionalFormatting>
  <conditionalFormatting sqref="A20:F20">
    <cfRule type="expression" priority="17" dxfId="0">
      <formula>$B20=""</formula>
    </cfRule>
  </conditionalFormatting>
  <conditionalFormatting sqref="A21:F21">
    <cfRule type="expression" priority="18" dxfId="0">
      <formula>$B21=""</formula>
    </cfRule>
  </conditionalFormatting>
  <conditionalFormatting sqref="A22:F22">
    <cfRule type="expression" priority="19" dxfId="0">
      <formula>$B22=""</formula>
    </cfRule>
  </conditionalFormatting>
  <conditionalFormatting sqref="A23:F23">
    <cfRule type="expression" priority="20" dxfId="0">
      <formula>$B23=""</formula>
    </cfRule>
  </conditionalFormatting>
  <conditionalFormatting sqref="A24:F24">
    <cfRule type="expression" priority="21" dxfId="0">
      <formula>$B24=""</formula>
    </cfRule>
  </conditionalFormatting>
  <conditionalFormatting sqref="A25:F25">
    <cfRule type="expression" priority="22" dxfId="0">
      <formula>$B25=""</formula>
    </cfRule>
  </conditionalFormatting>
  <conditionalFormatting sqref="A26:F26">
    <cfRule type="expression" priority="23" dxfId="0">
      <formula>$B26=""</formula>
    </cfRule>
  </conditionalFormatting>
  <conditionalFormatting sqref="A27:F27">
    <cfRule type="expression" priority="24" dxfId="0">
      <formula>$B27=""</formula>
    </cfRule>
  </conditionalFormatting>
  <conditionalFormatting sqref="A28:F28">
    <cfRule type="expression" priority="25" dxfId="0">
      <formula>$B28=""</formula>
    </cfRule>
  </conditionalFormatting>
  <conditionalFormatting sqref="A29:F29">
    <cfRule type="expression" priority="26" dxfId="0">
      <formula>$B29=""</formula>
    </cfRule>
  </conditionalFormatting>
  <conditionalFormatting sqref="A30:F30">
    <cfRule type="expression" priority="27" dxfId="0">
      <formula>$B30=""</formula>
    </cfRule>
  </conditionalFormatting>
  <conditionalFormatting sqref="A31:F31">
    <cfRule type="expression" priority="28" dxfId="0">
      <formula>$B31=""</formula>
    </cfRule>
  </conditionalFormatting>
  <conditionalFormatting sqref="A32:F32">
    <cfRule type="expression" priority="29" dxfId="0">
      <formula>$B32=""</formula>
    </cfRule>
  </conditionalFormatting>
  <conditionalFormatting sqref="A33:F33">
    <cfRule type="expression" priority="30" dxfId="0">
      <formula>$B33=""</formula>
    </cfRule>
  </conditionalFormatting>
  <conditionalFormatting sqref="C4:C33">
    <cfRule type="cellIs" priority="31" operator="lessThan" dxfId="1">
      <formula>10</formula>
    </cfRule>
    <cfRule type="cellIs" priority="32" operator="greaterThanOrEqual" dxfId="2">
      <formula>14</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R51"/>
  <sheetViews>
    <sheetView workbookViewId="0">
      <pane xSplit="6" ySplit="4" topLeftCell="G5" activePane="bottomRight" state="frozen"/>
      <selection pane="topRight"/>
      <selection pane="bottomLeft"/>
      <selection pane="bottomRight" activeCell="A1" sqref="A1"/>
    </sheetView>
  </sheetViews>
  <sheetFormatPr baseColWidth="8" defaultRowHeight="15"/>
  <cols>
    <col width="4" customWidth="1" min="1" max="1"/>
    <col width="8" customWidth="1" min="2" max="2"/>
    <col width="9" customWidth="1" min="3" max="3"/>
    <col width="8" customWidth="1" min="4" max="4"/>
    <col width="65" customWidth="1" min="5" max="5"/>
    <col width="8" customWidth="1" min="6" max="6"/>
    <col width="6" customWidth="1" min="7" max="7"/>
    <col width="7" customWidth="1" min="8" max="8"/>
    <col width="3" customWidth="1" min="9" max="9"/>
    <col width="6" customWidth="1" min="10" max="10"/>
    <col width="7" customWidth="1" min="11" max="11"/>
    <col width="3" customWidth="1" min="12" max="12"/>
    <col width="6" customWidth="1" min="13" max="13"/>
    <col width="7" customWidth="1" min="14" max="14"/>
    <col width="3" customWidth="1" min="15" max="15"/>
    <col width="6" customWidth="1" min="16" max="16"/>
    <col width="7" customWidth="1" min="17" max="17"/>
    <col width="3" customWidth="1" min="18" max="18"/>
    <col width="6" customWidth="1" min="19" max="19"/>
    <col width="7" customWidth="1" min="20" max="20"/>
    <col width="3" customWidth="1" min="21" max="21"/>
    <col width="6" customWidth="1" min="22" max="22"/>
    <col width="7" customWidth="1" min="23" max="23"/>
    <col width="3" customWidth="1" min="24" max="24"/>
    <col width="6" customWidth="1" min="25" max="25"/>
    <col width="7" customWidth="1" min="26" max="26"/>
    <col width="3" customWidth="1" min="27" max="27"/>
    <col width="6" customWidth="1" min="28" max="28"/>
    <col width="7" customWidth="1" min="29" max="29"/>
    <col width="3" customWidth="1" min="30" max="30"/>
    <col width="6" customWidth="1" min="31" max="31"/>
    <col width="7" customWidth="1" min="32" max="32"/>
    <col width="3" customWidth="1" min="33" max="33"/>
    <col width="6" customWidth="1" min="34" max="34"/>
    <col width="7" customWidth="1" min="35" max="35"/>
    <col width="3" customWidth="1" min="36" max="36"/>
    <col width="6" customWidth="1" min="37" max="37"/>
    <col width="7" customWidth="1" min="38" max="38"/>
    <col width="3" customWidth="1" min="39" max="39"/>
    <col width="6" customWidth="1" min="40" max="40"/>
    <col width="7" customWidth="1" min="41" max="41"/>
    <col width="3" customWidth="1" min="42" max="42"/>
    <col width="6" customWidth="1" min="43" max="43"/>
    <col width="7" customWidth="1" min="44" max="44"/>
    <col width="3" customWidth="1" min="45" max="45"/>
    <col width="6" customWidth="1" min="46" max="46"/>
    <col width="7" customWidth="1" min="47" max="47"/>
    <col width="3" customWidth="1" min="48" max="48"/>
    <col width="6" customWidth="1" min="49" max="49"/>
    <col width="7" customWidth="1" min="50" max="50"/>
    <col width="3" customWidth="1" min="51" max="51"/>
    <col width="6" customWidth="1" min="52" max="52"/>
    <col width="7" customWidth="1" min="53" max="53"/>
    <col width="3" customWidth="1" min="54" max="54"/>
    <col width="6" customWidth="1" min="55" max="55"/>
    <col width="7" customWidth="1" min="56" max="56"/>
    <col width="3" customWidth="1" min="57" max="57"/>
    <col width="6" customWidth="1" min="58" max="58"/>
    <col width="7" customWidth="1" min="59" max="59"/>
    <col width="3" customWidth="1" min="60" max="60"/>
    <col width="6" customWidth="1" min="61" max="61"/>
    <col width="7" customWidth="1" min="62" max="62"/>
    <col width="3" customWidth="1" min="63" max="63"/>
    <col width="6" customWidth="1" min="64" max="64"/>
    <col width="7" customWidth="1" min="65" max="65"/>
    <col width="3" customWidth="1" min="66" max="66"/>
    <col width="6" customWidth="1" min="67" max="67"/>
    <col width="7" customWidth="1" min="68" max="68"/>
    <col width="3" customWidth="1" min="69" max="69"/>
    <col width="6" customWidth="1" min="70" max="70"/>
    <col width="7" customWidth="1" min="71" max="71"/>
    <col width="3" customWidth="1" min="72" max="72"/>
    <col width="6" customWidth="1" min="73" max="73"/>
    <col width="7" customWidth="1" min="74" max="74"/>
    <col width="3" customWidth="1" min="75" max="75"/>
    <col width="6" customWidth="1" min="76" max="76"/>
    <col width="7" customWidth="1" min="77" max="77"/>
    <col width="3" customWidth="1" min="78" max="78"/>
    <col width="6" customWidth="1" min="79" max="79"/>
    <col width="7" customWidth="1" min="80" max="80"/>
    <col width="3" customWidth="1" min="81" max="81"/>
    <col width="6" customWidth="1" min="82" max="82"/>
    <col width="7" customWidth="1" min="83" max="83"/>
    <col width="3" customWidth="1" min="84" max="84"/>
    <col width="6" customWidth="1" min="85" max="85"/>
    <col width="7" customWidth="1" min="86" max="86"/>
    <col width="3" customWidth="1" min="87" max="87"/>
    <col width="6" customWidth="1" min="88" max="88"/>
    <col width="7" customWidth="1" min="89" max="89"/>
    <col width="3" customWidth="1" min="90" max="90"/>
    <col width="6" customWidth="1" min="91" max="91"/>
    <col width="7" customWidth="1" min="92" max="92"/>
    <col width="3" customWidth="1" min="93" max="93"/>
    <col width="6" customWidth="1" min="94" max="94"/>
    <col width="7" customWidth="1" min="95" max="95"/>
    <col width="3" customWidth="1" min="96" max="96"/>
  </cols>
  <sheetData>
    <row r="1" ht="24" customHeight="1">
      <c r="A1" s="1" t="inlineStr">
        <is>
          <t>BAC BLANC N°2 — 12-05-2026 — STI2D 2I2D — Site AQUALYON</t>
        </is>
      </c>
    </row>
    <row r="2" ht="20" customHeight="1">
      <c r="A2" s="9" t="inlineStr">
        <is>
          <t>Analyse des performances de la station de méthanisation de la Feyssine — Partie commune (12 pts)</t>
        </is>
      </c>
    </row>
    <row r="3" ht="140" customHeight="1">
      <c r="A3" s="2" t="inlineStr">
        <is>
          <t>N°</t>
        </is>
      </c>
      <c r="B3" s="2" t="inlineStr">
        <is>
          <t>Partie</t>
        </is>
      </c>
      <c r="C3" s="2" t="inlineStr">
        <is>
          <t>Question</t>
        </is>
      </c>
      <c r="D3" s="2" t="inlineStr">
        <is>
          <t>Type</t>
        </is>
      </c>
      <c r="E3" s="2" t="inlineStr">
        <is>
          <t>Critère / attendu</t>
        </is>
      </c>
      <c r="F3" s="2" t="inlineStr">
        <is>
          <t>Poids</t>
        </is>
      </c>
      <c r="G3" s="10">
        <f>IFERROR(IF(Élèves!B4="","E1",Élèves!B4),"E1")</f>
        <v/>
      </c>
      <c r="H3" s="11" t="n"/>
      <c r="I3" s="12" t="n"/>
      <c r="J3" s="10">
        <f>IFERROR(IF(Élèves!B5="","E2",Élèves!B5),"E2")</f>
        <v/>
      </c>
      <c r="K3" s="11" t="n"/>
      <c r="L3" s="12" t="n"/>
      <c r="M3" s="10">
        <f>IFERROR(IF(Élèves!B6="","E3",Élèves!B6),"E3")</f>
        <v/>
      </c>
      <c r="N3" s="11" t="n"/>
      <c r="O3" s="12" t="n"/>
      <c r="P3" s="10">
        <f>IFERROR(IF(Élèves!B7="","E4",Élèves!B7),"E4")</f>
        <v/>
      </c>
      <c r="Q3" s="11" t="n"/>
      <c r="R3" s="12" t="n"/>
      <c r="S3" s="10">
        <f>IFERROR(IF(Élèves!B8="","E5",Élèves!B8),"E5")</f>
        <v/>
      </c>
      <c r="T3" s="11" t="n"/>
      <c r="U3" s="12" t="n"/>
      <c r="V3" s="10">
        <f>IFERROR(IF(Élèves!B9="","E6",Élèves!B9),"E6")</f>
        <v/>
      </c>
      <c r="W3" s="11" t="n"/>
      <c r="X3" s="12" t="n"/>
      <c r="Y3" s="10">
        <f>IFERROR(IF(Élèves!B10="","E7",Élèves!B10),"E7")</f>
        <v/>
      </c>
      <c r="Z3" s="11" t="n"/>
      <c r="AA3" s="12" t="n"/>
      <c r="AB3" s="10">
        <f>IFERROR(IF(Élèves!B11="","E8",Élèves!B11),"E8")</f>
        <v/>
      </c>
      <c r="AC3" s="11" t="n"/>
      <c r="AD3" s="12" t="n"/>
      <c r="AE3" s="10">
        <f>IFERROR(IF(Élèves!B12="","E9",Élèves!B12),"E9")</f>
        <v/>
      </c>
      <c r="AF3" s="11" t="n"/>
      <c r="AG3" s="12" t="n"/>
      <c r="AH3" s="10">
        <f>IFERROR(IF(Élèves!B13="","E10",Élèves!B13),"E10")</f>
        <v/>
      </c>
      <c r="AI3" s="11" t="n"/>
      <c r="AJ3" s="12" t="n"/>
      <c r="AK3" s="10">
        <f>IFERROR(IF(Élèves!B14="","E11",Élèves!B14),"E11")</f>
        <v/>
      </c>
      <c r="AL3" s="11" t="n"/>
      <c r="AM3" s="12" t="n"/>
      <c r="AN3" s="10">
        <f>IFERROR(IF(Élèves!B15="","E12",Élèves!B15),"E12")</f>
        <v/>
      </c>
      <c r="AO3" s="11" t="n"/>
      <c r="AP3" s="12" t="n"/>
      <c r="AQ3" s="10">
        <f>IFERROR(IF(Élèves!B16="","E13",Élèves!B16),"E13")</f>
        <v/>
      </c>
      <c r="AR3" s="11" t="n"/>
      <c r="AS3" s="12" t="n"/>
      <c r="AT3" s="10">
        <f>IFERROR(IF(Élèves!B17="","E14",Élèves!B17),"E14")</f>
        <v/>
      </c>
      <c r="AU3" s="11" t="n"/>
      <c r="AV3" s="12" t="n"/>
      <c r="AW3" s="10">
        <f>IFERROR(IF(Élèves!B18="","E15",Élèves!B18),"E15")</f>
        <v/>
      </c>
      <c r="AX3" s="11" t="n"/>
      <c r="AY3" s="12" t="n"/>
      <c r="AZ3" s="10">
        <f>IFERROR(IF(Élèves!B19="","E16",Élèves!B19),"E16")</f>
        <v/>
      </c>
      <c r="BA3" s="11" t="n"/>
      <c r="BB3" s="12" t="n"/>
      <c r="BC3" s="10">
        <f>IFERROR(IF(Élèves!B20="","E17",Élèves!B20),"E17")</f>
        <v/>
      </c>
      <c r="BD3" s="11" t="n"/>
      <c r="BE3" s="12" t="n"/>
      <c r="BF3" s="10">
        <f>IFERROR(IF(Élèves!B21="","E18",Élèves!B21),"E18")</f>
        <v/>
      </c>
      <c r="BG3" s="11" t="n"/>
      <c r="BH3" s="12" t="n"/>
      <c r="BI3" s="10">
        <f>IFERROR(IF(Élèves!B22="","E19",Élèves!B22),"E19")</f>
        <v/>
      </c>
      <c r="BJ3" s="11" t="n"/>
      <c r="BK3" s="12" t="n"/>
      <c r="BL3" s="10">
        <f>IFERROR(IF(Élèves!B23="","E20",Élèves!B23),"E20")</f>
        <v/>
      </c>
      <c r="BM3" s="11" t="n"/>
      <c r="BN3" s="12" t="n"/>
      <c r="BO3" s="10">
        <f>IFERROR(IF(Élèves!B24="","E21",Élèves!B24),"E21")</f>
        <v/>
      </c>
      <c r="BP3" s="11" t="n"/>
      <c r="BQ3" s="12" t="n"/>
      <c r="BR3" s="10">
        <f>IFERROR(IF(Élèves!B25="","E22",Élèves!B25),"E22")</f>
        <v/>
      </c>
      <c r="BS3" s="11" t="n"/>
      <c r="BT3" s="12" t="n"/>
      <c r="BU3" s="10">
        <f>IFERROR(IF(Élèves!B26="","E23",Élèves!B26),"E23")</f>
        <v/>
      </c>
      <c r="BV3" s="11" t="n"/>
      <c r="BW3" s="12" t="n"/>
      <c r="BX3" s="10">
        <f>IFERROR(IF(Élèves!B27="","E24",Élèves!B27),"E24")</f>
        <v/>
      </c>
      <c r="BY3" s="11" t="n"/>
      <c r="BZ3" s="12" t="n"/>
      <c r="CA3" s="10">
        <f>IFERROR(IF(Élèves!B28="","E25",Élèves!B28),"E25")</f>
        <v/>
      </c>
      <c r="CB3" s="11" t="n"/>
      <c r="CC3" s="12" t="n"/>
      <c r="CD3" s="10">
        <f>IFERROR(IF(Élèves!B29="","E26",Élèves!B29),"E26")</f>
        <v/>
      </c>
      <c r="CE3" s="11" t="n"/>
      <c r="CF3" s="12" t="n"/>
      <c r="CG3" s="10">
        <f>IFERROR(IF(Élèves!B30="","E27",Élèves!B30),"E27")</f>
        <v/>
      </c>
      <c r="CH3" s="11" t="n"/>
      <c r="CI3" s="12" t="n"/>
      <c r="CJ3" s="10">
        <f>IFERROR(IF(Élèves!B31="","E28",Élèves!B31),"E28")</f>
        <v/>
      </c>
      <c r="CK3" s="11" t="n"/>
      <c r="CL3" s="12" t="n"/>
      <c r="CM3" s="10">
        <f>IFERROR(IF(Élèves!B32="","E29",Élèves!B32),"E29")</f>
        <v/>
      </c>
      <c r="CN3" s="11" t="n"/>
      <c r="CO3" s="12" t="n"/>
      <c r="CP3" s="10">
        <f>IFERROR(IF(Élèves!B33="","E30",Élèves!B33),"E30")</f>
        <v/>
      </c>
      <c r="CQ3" s="11" t="n"/>
      <c r="CR3" s="12" t="n"/>
    </row>
    <row r="4" ht="22" customHeight="1">
      <c r="A4" s="13" t="n"/>
      <c r="B4" s="13" t="n"/>
      <c r="C4" s="13" t="n"/>
      <c r="D4" s="13" t="n"/>
      <c r="E4" s="13" t="n"/>
      <c r="F4" s="13" t="n"/>
      <c r="G4" s="2" t="inlineStr">
        <is>
          <t>Saisie</t>
        </is>
      </c>
      <c r="H4" s="2" t="inlineStr">
        <is>
          <t>Note</t>
        </is>
      </c>
      <c r="I4" s="2" t="inlineStr">
        <is>
          <t>⚠</t>
        </is>
      </c>
      <c r="J4" s="2" t="inlineStr">
        <is>
          <t>Saisie</t>
        </is>
      </c>
      <c r="K4" s="2" t="inlineStr">
        <is>
          <t>Note</t>
        </is>
      </c>
      <c r="L4" s="2" t="inlineStr">
        <is>
          <t>⚠</t>
        </is>
      </c>
      <c r="M4" s="2" t="inlineStr">
        <is>
          <t>Saisie</t>
        </is>
      </c>
      <c r="N4" s="2" t="inlineStr">
        <is>
          <t>Note</t>
        </is>
      </c>
      <c r="O4" s="2" t="inlineStr">
        <is>
          <t>⚠</t>
        </is>
      </c>
      <c r="P4" s="2" t="inlineStr">
        <is>
          <t>Saisie</t>
        </is>
      </c>
      <c r="Q4" s="2" t="inlineStr">
        <is>
          <t>Note</t>
        </is>
      </c>
      <c r="R4" s="2" t="inlineStr">
        <is>
          <t>⚠</t>
        </is>
      </c>
      <c r="S4" s="2" t="inlineStr">
        <is>
          <t>Saisie</t>
        </is>
      </c>
      <c r="T4" s="2" t="inlineStr">
        <is>
          <t>Note</t>
        </is>
      </c>
      <c r="U4" s="2" t="inlineStr">
        <is>
          <t>⚠</t>
        </is>
      </c>
      <c r="V4" s="2" t="inlineStr">
        <is>
          <t>Saisie</t>
        </is>
      </c>
      <c r="W4" s="2" t="inlineStr">
        <is>
          <t>Note</t>
        </is>
      </c>
      <c r="X4" s="2" t="inlineStr">
        <is>
          <t>⚠</t>
        </is>
      </c>
      <c r="Y4" s="2" t="inlineStr">
        <is>
          <t>Saisie</t>
        </is>
      </c>
      <c r="Z4" s="2" t="inlineStr">
        <is>
          <t>Note</t>
        </is>
      </c>
      <c r="AA4" s="2" t="inlineStr">
        <is>
          <t>⚠</t>
        </is>
      </c>
      <c r="AB4" s="2" t="inlineStr">
        <is>
          <t>Saisie</t>
        </is>
      </c>
      <c r="AC4" s="2" t="inlineStr">
        <is>
          <t>Note</t>
        </is>
      </c>
      <c r="AD4" s="2" t="inlineStr">
        <is>
          <t>⚠</t>
        </is>
      </c>
      <c r="AE4" s="2" t="inlineStr">
        <is>
          <t>Saisie</t>
        </is>
      </c>
      <c r="AF4" s="2" t="inlineStr">
        <is>
          <t>Note</t>
        </is>
      </c>
      <c r="AG4" s="2" t="inlineStr">
        <is>
          <t>⚠</t>
        </is>
      </c>
      <c r="AH4" s="2" t="inlineStr">
        <is>
          <t>Saisie</t>
        </is>
      </c>
      <c r="AI4" s="2" t="inlineStr">
        <is>
          <t>Note</t>
        </is>
      </c>
      <c r="AJ4" s="2" t="inlineStr">
        <is>
          <t>⚠</t>
        </is>
      </c>
      <c r="AK4" s="2" t="inlineStr">
        <is>
          <t>Saisie</t>
        </is>
      </c>
      <c r="AL4" s="2" t="inlineStr">
        <is>
          <t>Note</t>
        </is>
      </c>
      <c r="AM4" s="2" t="inlineStr">
        <is>
          <t>⚠</t>
        </is>
      </c>
      <c r="AN4" s="2" t="inlineStr">
        <is>
          <t>Saisie</t>
        </is>
      </c>
      <c r="AO4" s="2" t="inlineStr">
        <is>
          <t>Note</t>
        </is>
      </c>
      <c r="AP4" s="2" t="inlineStr">
        <is>
          <t>⚠</t>
        </is>
      </c>
      <c r="AQ4" s="2" t="inlineStr">
        <is>
          <t>Saisie</t>
        </is>
      </c>
      <c r="AR4" s="2" t="inlineStr">
        <is>
          <t>Note</t>
        </is>
      </c>
      <c r="AS4" s="2" t="inlineStr">
        <is>
          <t>⚠</t>
        </is>
      </c>
      <c r="AT4" s="2" t="inlineStr">
        <is>
          <t>Saisie</t>
        </is>
      </c>
      <c r="AU4" s="2" t="inlineStr">
        <is>
          <t>Note</t>
        </is>
      </c>
      <c r="AV4" s="2" t="inlineStr">
        <is>
          <t>⚠</t>
        </is>
      </c>
      <c r="AW4" s="2" t="inlineStr">
        <is>
          <t>Saisie</t>
        </is>
      </c>
      <c r="AX4" s="2" t="inlineStr">
        <is>
          <t>Note</t>
        </is>
      </c>
      <c r="AY4" s="2" t="inlineStr">
        <is>
          <t>⚠</t>
        </is>
      </c>
      <c r="AZ4" s="2" t="inlineStr">
        <is>
          <t>Saisie</t>
        </is>
      </c>
      <c r="BA4" s="2" t="inlineStr">
        <is>
          <t>Note</t>
        </is>
      </c>
      <c r="BB4" s="2" t="inlineStr">
        <is>
          <t>⚠</t>
        </is>
      </c>
      <c r="BC4" s="2" t="inlineStr">
        <is>
          <t>Saisie</t>
        </is>
      </c>
      <c r="BD4" s="2" t="inlineStr">
        <is>
          <t>Note</t>
        </is>
      </c>
      <c r="BE4" s="2" t="inlineStr">
        <is>
          <t>⚠</t>
        </is>
      </c>
      <c r="BF4" s="2" t="inlineStr">
        <is>
          <t>Saisie</t>
        </is>
      </c>
      <c r="BG4" s="2" t="inlineStr">
        <is>
          <t>Note</t>
        </is>
      </c>
      <c r="BH4" s="2" t="inlineStr">
        <is>
          <t>⚠</t>
        </is>
      </c>
      <c r="BI4" s="2" t="inlineStr">
        <is>
          <t>Saisie</t>
        </is>
      </c>
      <c r="BJ4" s="2" t="inlineStr">
        <is>
          <t>Note</t>
        </is>
      </c>
      <c r="BK4" s="2" t="inlineStr">
        <is>
          <t>⚠</t>
        </is>
      </c>
      <c r="BL4" s="2" t="inlineStr">
        <is>
          <t>Saisie</t>
        </is>
      </c>
      <c r="BM4" s="2" t="inlineStr">
        <is>
          <t>Note</t>
        </is>
      </c>
      <c r="BN4" s="2" t="inlineStr">
        <is>
          <t>⚠</t>
        </is>
      </c>
      <c r="BO4" s="2" t="inlineStr">
        <is>
          <t>Saisie</t>
        </is>
      </c>
      <c r="BP4" s="2" t="inlineStr">
        <is>
          <t>Note</t>
        </is>
      </c>
      <c r="BQ4" s="2" t="inlineStr">
        <is>
          <t>⚠</t>
        </is>
      </c>
      <c r="BR4" s="2" t="inlineStr">
        <is>
          <t>Saisie</t>
        </is>
      </c>
      <c r="BS4" s="2" t="inlineStr">
        <is>
          <t>Note</t>
        </is>
      </c>
      <c r="BT4" s="2" t="inlineStr">
        <is>
          <t>⚠</t>
        </is>
      </c>
      <c r="BU4" s="2" t="inlineStr">
        <is>
          <t>Saisie</t>
        </is>
      </c>
      <c r="BV4" s="2" t="inlineStr">
        <is>
          <t>Note</t>
        </is>
      </c>
      <c r="BW4" s="2" t="inlineStr">
        <is>
          <t>⚠</t>
        </is>
      </c>
      <c r="BX4" s="2" t="inlineStr">
        <is>
          <t>Saisie</t>
        </is>
      </c>
      <c r="BY4" s="2" t="inlineStr">
        <is>
          <t>Note</t>
        </is>
      </c>
      <c r="BZ4" s="2" t="inlineStr">
        <is>
          <t>⚠</t>
        </is>
      </c>
      <c r="CA4" s="2" t="inlineStr">
        <is>
          <t>Saisie</t>
        </is>
      </c>
      <c r="CB4" s="2" t="inlineStr">
        <is>
          <t>Note</t>
        </is>
      </c>
      <c r="CC4" s="2" t="inlineStr">
        <is>
          <t>⚠</t>
        </is>
      </c>
      <c r="CD4" s="2" t="inlineStr">
        <is>
          <t>Saisie</t>
        </is>
      </c>
      <c r="CE4" s="2" t="inlineStr">
        <is>
          <t>Note</t>
        </is>
      </c>
      <c r="CF4" s="2" t="inlineStr">
        <is>
          <t>⚠</t>
        </is>
      </c>
      <c r="CG4" s="2" t="inlineStr">
        <is>
          <t>Saisie</t>
        </is>
      </c>
      <c r="CH4" s="2" t="inlineStr">
        <is>
          <t>Note</t>
        </is>
      </c>
      <c r="CI4" s="2" t="inlineStr">
        <is>
          <t>⚠</t>
        </is>
      </c>
      <c r="CJ4" s="2" t="inlineStr">
        <is>
          <t>Saisie</t>
        </is>
      </c>
      <c r="CK4" s="2" t="inlineStr">
        <is>
          <t>Note</t>
        </is>
      </c>
      <c r="CL4" s="2" t="inlineStr">
        <is>
          <t>⚠</t>
        </is>
      </c>
      <c r="CM4" s="2" t="inlineStr">
        <is>
          <t>Saisie</t>
        </is>
      </c>
      <c r="CN4" s="2" t="inlineStr">
        <is>
          <t>Note</t>
        </is>
      </c>
      <c r="CO4" s="2" t="inlineStr">
        <is>
          <t>⚠</t>
        </is>
      </c>
      <c r="CP4" s="2" t="inlineStr">
        <is>
          <t>Saisie</t>
        </is>
      </c>
      <c r="CQ4" s="2" t="inlineStr">
        <is>
          <t>Note</t>
        </is>
      </c>
      <c r="CR4" s="2" t="inlineStr">
        <is>
          <t>⚠</t>
        </is>
      </c>
    </row>
    <row r="5" ht="22" customHeight="1">
      <c r="A5" s="14" t="inlineStr"/>
      <c r="B5" s="15" t="inlineStr">
        <is>
          <t>P1</t>
        </is>
      </c>
      <c r="C5" s="14" t="inlineStr"/>
      <c r="D5" s="16" t="inlineStr">
        <is>
          <t>Partie</t>
        </is>
      </c>
      <c r="E5" s="17" t="inlineStr">
        <is>
          <t>Comment la station de la Feyssine permet-elle de répondre aux besoins de la métropole ?</t>
        </is>
      </c>
      <c r="F5" s="18" t="n">
        <v>0.2</v>
      </c>
      <c r="G5" s="14" t="n"/>
      <c r="H5" s="19">
        <f>IFERROR(SUM(H6:H12)/(SUMPRODUCT(($F$6:$F$12)*(G6:G12&lt;&gt;"")*(G6:G12&lt;&gt;"NE"))*$F$5),"")</f>
        <v/>
      </c>
      <c r="I5" s="14" t="n"/>
      <c r="J5" s="14" t="n"/>
      <c r="K5" s="19">
        <f>IFERROR(SUM(K6:K12)/(SUMPRODUCT(($F$6:$F$12)*(J6:J12&lt;&gt;"")*(J6:J12&lt;&gt;"NE"))*$F$5),"")</f>
        <v/>
      </c>
      <c r="L5" s="14" t="n"/>
      <c r="M5" s="14" t="n"/>
      <c r="N5" s="19">
        <f>IFERROR(SUM(N6:N12)/(SUMPRODUCT(($F$6:$F$12)*(M6:M12&lt;&gt;"")*(M6:M12&lt;&gt;"NE"))*$F$5),"")</f>
        <v/>
      </c>
      <c r="O5" s="14" t="n"/>
      <c r="P5" s="14" t="n"/>
      <c r="Q5" s="19">
        <f>IFERROR(SUM(Q6:Q12)/(SUMPRODUCT(($F$6:$F$12)*(P6:P12&lt;&gt;"")*(P6:P12&lt;&gt;"NE"))*$F$5),"")</f>
        <v/>
      </c>
      <c r="R5" s="14" t="n"/>
      <c r="S5" s="14" t="n"/>
      <c r="T5" s="19">
        <f>IFERROR(SUM(T6:T12)/(SUMPRODUCT(($F$6:$F$12)*(S6:S12&lt;&gt;"")*(S6:S12&lt;&gt;"NE"))*$F$5),"")</f>
        <v/>
      </c>
      <c r="U5" s="14" t="n"/>
      <c r="V5" s="14" t="n"/>
      <c r="W5" s="19">
        <f>IFERROR(SUM(W6:W12)/(SUMPRODUCT(($F$6:$F$12)*(V6:V12&lt;&gt;"")*(V6:V12&lt;&gt;"NE"))*$F$5),"")</f>
        <v/>
      </c>
      <c r="X5" s="14" t="n"/>
      <c r="Y5" s="14" t="n"/>
      <c r="Z5" s="19">
        <f>IFERROR(SUM(Z6:Z12)/(SUMPRODUCT(($F$6:$F$12)*(Y6:Y12&lt;&gt;"")*(Y6:Y12&lt;&gt;"NE"))*$F$5),"")</f>
        <v/>
      </c>
      <c r="AA5" s="14" t="n"/>
      <c r="AB5" s="14" t="n"/>
      <c r="AC5" s="19">
        <f>IFERROR(SUM(AC6:AC12)/(SUMPRODUCT(($F$6:$F$12)*(AB6:AB12&lt;&gt;"")*(AB6:AB12&lt;&gt;"NE"))*$F$5),"")</f>
        <v/>
      </c>
      <c r="AD5" s="14" t="n"/>
      <c r="AE5" s="14" t="n"/>
      <c r="AF5" s="19">
        <f>IFERROR(SUM(AF6:AF12)/(SUMPRODUCT(($F$6:$F$12)*(AE6:AE12&lt;&gt;"")*(AE6:AE12&lt;&gt;"NE"))*$F$5),"")</f>
        <v/>
      </c>
      <c r="AG5" s="14" t="n"/>
      <c r="AH5" s="14" t="n"/>
      <c r="AI5" s="19">
        <f>IFERROR(SUM(AI6:AI12)/(SUMPRODUCT(($F$6:$F$12)*(AH6:AH12&lt;&gt;"")*(AH6:AH12&lt;&gt;"NE"))*$F$5),"")</f>
        <v/>
      </c>
      <c r="AJ5" s="14" t="n"/>
      <c r="AK5" s="14" t="n"/>
      <c r="AL5" s="19">
        <f>IFERROR(SUM(AL6:AL12)/(SUMPRODUCT(($F$6:$F$12)*(AK6:AK12&lt;&gt;"")*(AK6:AK12&lt;&gt;"NE"))*$F$5),"")</f>
        <v/>
      </c>
      <c r="AM5" s="14" t="n"/>
      <c r="AN5" s="14" t="n"/>
      <c r="AO5" s="19">
        <f>IFERROR(SUM(AO6:AO12)/(SUMPRODUCT(($F$6:$F$12)*(AN6:AN12&lt;&gt;"")*(AN6:AN12&lt;&gt;"NE"))*$F$5),"")</f>
        <v/>
      </c>
      <c r="AP5" s="14" t="n"/>
      <c r="AQ5" s="14" t="n"/>
      <c r="AR5" s="19">
        <f>IFERROR(SUM(AR6:AR12)/(SUMPRODUCT(($F$6:$F$12)*(AQ6:AQ12&lt;&gt;"")*(AQ6:AQ12&lt;&gt;"NE"))*$F$5),"")</f>
        <v/>
      </c>
      <c r="AS5" s="14" t="n"/>
      <c r="AT5" s="14" t="n"/>
      <c r="AU5" s="19">
        <f>IFERROR(SUM(AU6:AU12)/(SUMPRODUCT(($F$6:$F$12)*(AT6:AT12&lt;&gt;"")*(AT6:AT12&lt;&gt;"NE"))*$F$5),"")</f>
        <v/>
      </c>
      <c r="AV5" s="14" t="n"/>
      <c r="AW5" s="14" t="n"/>
      <c r="AX5" s="19">
        <f>IFERROR(SUM(AX6:AX12)/(SUMPRODUCT(($F$6:$F$12)*(AW6:AW12&lt;&gt;"")*(AW6:AW12&lt;&gt;"NE"))*$F$5),"")</f>
        <v/>
      </c>
      <c r="AY5" s="14" t="n"/>
      <c r="AZ5" s="14" t="n"/>
      <c r="BA5" s="19">
        <f>IFERROR(SUM(BA6:BA12)/(SUMPRODUCT(($F$6:$F$12)*(AZ6:AZ12&lt;&gt;"")*(AZ6:AZ12&lt;&gt;"NE"))*$F$5),"")</f>
        <v/>
      </c>
      <c r="BB5" s="14" t="n"/>
      <c r="BC5" s="14" t="n"/>
      <c r="BD5" s="19">
        <f>IFERROR(SUM(BD6:BD12)/(SUMPRODUCT(($F$6:$F$12)*(BC6:BC12&lt;&gt;"")*(BC6:BC12&lt;&gt;"NE"))*$F$5),"")</f>
        <v/>
      </c>
      <c r="BE5" s="14" t="n"/>
      <c r="BF5" s="14" t="n"/>
      <c r="BG5" s="19">
        <f>IFERROR(SUM(BG6:BG12)/(SUMPRODUCT(($F$6:$F$12)*(BF6:BF12&lt;&gt;"")*(BF6:BF12&lt;&gt;"NE"))*$F$5),"")</f>
        <v/>
      </c>
      <c r="BH5" s="14" t="n"/>
      <c r="BI5" s="14" t="n"/>
      <c r="BJ5" s="19">
        <f>IFERROR(SUM(BJ6:BJ12)/(SUMPRODUCT(($F$6:$F$12)*(BI6:BI12&lt;&gt;"")*(BI6:BI12&lt;&gt;"NE"))*$F$5),"")</f>
        <v/>
      </c>
      <c r="BK5" s="14" t="n"/>
      <c r="BL5" s="14" t="n"/>
      <c r="BM5" s="19">
        <f>IFERROR(SUM(BM6:BM12)/(SUMPRODUCT(($F$6:$F$12)*(BL6:BL12&lt;&gt;"")*(BL6:BL12&lt;&gt;"NE"))*$F$5),"")</f>
        <v/>
      </c>
      <c r="BN5" s="14" t="n"/>
      <c r="BO5" s="14" t="n"/>
      <c r="BP5" s="19">
        <f>IFERROR(SUM(BP6:BP12)/(SUMPRODUCT(($F$6:$F$12)*(BO6:BO12&lt;&gt;"")*(BO6:BO12&lt;&gt;"NE"))*$F$5),"")</f>
        <v/>
      </c>
      <c r="BQ5" s="14" t="n"/>
      <c r="BR5" s="14" t="n"/>
      <c r="BS5" s="19">
        <f>IFERROR(SUM(BS6:BS12)/(SUMPRODUCT(($F$6:$F$12)*(BR6:BR12&lt;&gt;"")*(BR6:BR12&lt;&gt;"NE"))*$F$5),"")</f>
        <v/>
      </c>
      <c r="BT5" s="14" t="n"/>
      <c r="BU5" s="14" t="n"/>
      <c r="BV5" s="19">
        <f>IFERROR(SUM(BV6:BV12)/(SUMPRODUCT(($F$6:$F$12)*(BU6:BU12&lt;&gt;"")*(BU6:BU12&lt;&gt;"NE"))*$F$5),"")</f>
        <v/>
      </c>
      <c r="BW5" s="14" t="n"/>
      <c r="BX5" s="14" t="n"/>
      <c r="BY5" s="19">
        <f>IFERROR(SUM(BY6:BY12)/(SUMPRODUCT(($F$6:$F$12)*(BX6:BX12&lt;&gt;"")*(BX6:BX12&lt;&gt;"NE"))*$F$5),"")</f>
        <v/>
      </c>
      <c r="BZ5" s="14" t="n"/>
      <c r="CA5" s="14" t="n"/>
      <c r="CB5" s="19">
        <f>IFERROR(SUM(CB6:CB12)/(SUMPRODUCT(($F$6:$F$12)*(CA6:CA12&lt;&gt;"")*(CA6:CA12&lt;&gt;"NE"))*$F$5),"")</f>
        <v/>
      </c>
      <c r="CC5" s="14" t="n"/>
      <c r="CD5" s="14" t="n"/>
      <c r="CE5" s="19">
        <f>IFERROR(SUM(CE6:CE12)/(SUMPRODUCT(($F$6:$F$12)*(CD6:CD12&lt;&gt;"")*(CD6:CD12&lt;&gt;"NE"))*$F$5),"")</f>
        <v/>
      </c>
      <c r="CF5" s="14" t="n"/>
      <c r="CG5" s="14" t="n"/>
      <c r="CH5" s="19">
        <f>IFERROR(SUM(CH6:CH12)/(SUMPRODUCT(($F$6:$F$12)*(CG6:CG12&lt;&gt;"")*(CG6:CG12&lt;&gt;"NE"))*$F$5),"")</f>
        <v/>
      </c>
      <c r="CI5" s="14" t="n"/>
      <c r="CJ5" s="14" t="n"/>
      <c r="CK5" s="19">
        <f>IFERROR(SUM(CK6:CK12)/(SUMPRODUCT(($F$6:$F$12)*(CJ6:CJ12&lt;&gt;"")*(CJ6:CJ12&lt;&gt;"NE"))*$F$5),"")</f>
        <v/>
      </c>
      <c r="CL5" s="14" t="n"/>
      <c r="CM5" s="14" t="n"/>
      <c r="CN5" s="19">
        <f>IFERROR(SUM(CN6:CN12)/(SUMPRODUCT(($F$6:$F$12)*(CM6:CM12&lt;&gt;"")*(CM6:CM12&lt;&gt;"NE"))*$F$5),"")</f>
        <v/>
      </c>
      <c r="CO5" s="14" t="n"/>
      <c r="CP5" s="14" t="n"/>
      <c r="CQ5" s="19">
        <f>IFERROR(SUM(CQ6:CQ12)/(SUMPRODUCT(($F$6:$F$12)*(CP6:CP12&lt;&gt;"")*(CP6:CP12&lt;&gt;"NE"))*$F$5),"")</f>
        <v/>
      </c>
      <c r="CR5" s="14" t="n"/>
    </row>
    <row r="6" ht="36" customHeight="1">
      <c r="A6" s="20" t="n">
        <v>1</v>
      </c>
      <c r="B6" s="20" t="inlineStr">
        <is>
          <t>P1</t>
        </is>
      </c>
      <c r="C6" s="20" t="inlineStr">
        <is>
          <t>Q1.1</t>
        </is>
      </c>
      <c r="D6" s="20" t="inlineStr">
        <is>
          <t>Critère</t>
        </is>
      </c>
      <c r="E6" s="21" t="inlineStr">
        <is>
          <t>La station de Saint-Fons est saturée en DBO.</t>
        </is>
      </c>
      <c r="F6" s="22" t="n">
        <v>0.15</v>
      </c>
      <c r="G6" s="23" t="n"/>
      <c r="H6" s="24">
        <f>IF(G6="","",IF(G6="NE","",(IFERROR(IF(ISNUMBER(G6),G6,VALUE(G6)),0)/2)*$F6*$F$5*20))</f>
        <v/>
      </c>
      <c r="I6" s="25">
        <f>IF(G6="","◄",IF(G6="NE","~",""))</f>
        <v/>
      </c>
      <c r="J6" s="23" t="n"/>
      <c r="K6" s="24">
        <f>IF(J6="","",IF(J6="NE","",(IFERROR(IF(ISNUMBER(J6),J6,VALUE(J6)),0)/2)*$F6*$F$5*20))</f>
        <v/>
      </c>
      <c r="L6" s="25">
        <f>IF(J6="","◄",IF(J6="NE","~",""))</f>
        <v/>
      </c>
      <c r="M6" s="23" t="n"/>
      <c r="N6" s="24">
        <f>IF(M6="","",IF(M6="NE","",(IFERROR(IF(ISNUMBER(M6),M6,VALUE(M6)),0)/2)*$F6*$F$5*20))</f>
        <v/>
      </c>
      <c r="O6" s="25">
        <f>IF(M6="","◄",IF(M6="NE","~",""))</f>
        <v/>
      </c>
      <c r="P6" s="23" t="n"/>
      <c r="Q6" s="24">
        <f>IF(P6="","",IF(P6="NE","",(IFERROR(IF(ISNUMBER(P6),P6,VALUE(P6)),0)/2)*$F6*$F$5*20))</f>
        <v/>
      </c>
      <c r="R6" s="25">
        <f>IF(P6="","◄",IF(P6="NE","~",""))</f>
        <v/>
      </c>
      <c r="S6" s="23" t="n"/>
      <c r="T6" s="24">
        <f>IF(S6="","",IF(S6="NE","",(IFERROR(IF(ISNUMBER(S6),S6,VALUE(S6)),0)/2)*$F6*$F$5*20))</f>
        <v/>
      </c>
      <c r="U6" s="25">
        <f>IF(S6="","◄",IF(S6="NE","~",""))</f>
        <v/>
      </c>
      <c r="V6" s="23" t="n"/>
      <c r="W6" s="24">
        <f>IF(V6="","",IF(V6="NE","",(IFERROR(IF(ISNUMBER(V6),V6,VALUE(V6)),0)/2)*$F6*$F$5*20))</f>
        <v/>
      </c>
      <c r="X6" s="25">
        <f>IF(V6="","◄",IF(V6="NE","~",""))</f>
        <v/>
      </c>
      <c r="Y6" s="23" t="n"/>
      <c r="Z6" s="24">
        <f>IF(Y6="","",IF(Y6="NE","",(IFERROR(IF(ISNUMBER(Y6),Y6,VALUE(Y6)),0)/2)*$F6*$F$5*20))</f>
        <v/>
      </c>
      <c r="AA6" s="25">
        <f>IF(Y6="","◄",IF(Y6="NE","~",""))</f>
        <v/>
      </c>
      <c r="AB6" s="23" t="n"/>
      <c r="AC6" s="24">
        <f>IF(AB6="","",IF(AB6="NE","",(IFERROR(IF(ISNUMBER(AB6),AB6,VALUE(AB6)),0)/2)*$F6*$F$5*20))</f>
        <v/>
      </c>
      <c r="AD6" s="25">
        <f>IF(AB6="","◄",IF(AB6="NE","~",""))</f>
        <v/>
      </c>
      <c r="AE6" s="23" t="n"/>
      <c r="AF6" s="24">
        <f>IF(AE6="","",IF(AE6="NE","",(IFERROR(IF(ISNUMBER(AE6),AE6,VALUE(AE6)),0)/2)*$F6*$F$5*20))</f>
        <v/>
      </c>
      <c r="AG6" s="25">
        <f>IF(AE6="","◄",IF(AE6="NE","~",""))</f>
        <v/>
      </c>
      <c r="AH6" s="23" t="n"/>
      <c r="AI6" s="24">
        <f>IF(AH6="","",IF(AH6="NE","",(IFERROR(IF(ISNUMBER(AH6),AH6,VALUE(AH6)),0)/2)*$F6*$F$5*20))</f>
        <v/>
      </c>
      <c r="AJ6" s="25">
        <f>IF(AH6="","◄",IF(AH6="NE","~",""))</f>
        <v/>
      </c>
      <c r="AK6" s="23" t="n"/>
      <c r="AL6" s="24">
        <f>IF(AK6="","",IF(AK6="NE","",(IFERROR(IF(ISNUMBER(AK6),AK6,VALUE(AK6)),0)/2)*$F6*$F$5*20))</f>
        <v/>
      </c>
      <c r="AM6" s="25">
        <f>IF(AK6="","◄",IF(AK6="NE","~",""))</f>
        <v/>
      </c>
      <c r="AN6" s="23" t="n"/>
      <c r="AO6" s="24">
        <f>IF(AN6="","",IF(AN6="NE","",(IFERROR(IF(ISNUMBER(AN6),AN6,VALUE(AN6)),0)/2)*$F6*$F$5*20))</f>
        <v/>
      </c>
      <c r="AP6" s="25">
        <f>IF(AN6="","◄",IF(AN6="NE","~",""))</f>
        <v/>
      </c>
      <c r="AQ6" s="23" t="n"/>
      <c r="AR6" s="24">
        <f>IF(AQ6="","",IF(AQ6="NE","",(IFERROR(IF(ISNUMBER(AQ6),AQ6,VALUE(AQ6)),0)/2)*$F6*$F$5*20))</f>
        <v/>
      </c>
      <c r="AS6" s="25">
        <f>IF(AQ6="","◄",IF(AQ6="NE","~",""))</f>
        <v/>
      </c>
      <c r="AT6" s="23" t="n"/>
      <c r="AU6" s="24">
        <f>IF(AT6="","",IF(AT6="NE","",(IFERROR(IF(ISNUMBER(AT6),AT6,VALUE(AT6)),0)/2)*$F6*$F$5*20))</f>
        <v/>
      </c>
      <c r="AV6" s="25">
        <f>IF(AT6="","◄",IF(AT6="NE","~",""))</f>
        <v/>
      </c>
      <c r="AW6" s="23" t="n"/>
      <c r="AX6" s="24">
        <f>IF(AW6="","",IF(AW6="NE","",(IFERROR(IF(ISNUMBER(AW6),AW6,VALUE(AW6)),0)/2)*$F6*$F$5*20))</f>
        <v/>
      </c>
      <c r="AY6" s="25">
        <f>IF(AW6="","◄",IF(AW6="NE","~",""))</f>
        <v/>
      </c>
      <c r="AZ6" s="23" t="n"/>
      <c r="BA6" s="24">
        <f>IF(AZ6="","",IF(AZ6="NE","",(IFERROR(IF(ISNUMBER(AZ6),AZ6,VALUE(AZ6)),0)/2)*$F6*$F$5*20))</f>
        <v/>
      </c>
      <c r="BB6" s="25">
        <f>IF(AZ6="","◄",IF(AZ6="NE","~",""))</f>
        <v/>
      </c>
      <c r="BC6" s="23" t="n"/>
      <c r="BD6" s="24">
        <f>IF(BC6="","",IF(BC6="NE","",(IFERROR(IF(ISNUMBER(BC6),BC6,VALUE(BC6)),0)/2)*$F6*$F$5*20))</f>
        <v/>
      </c>
      <c r="BE6" s="25">
        <f>IF(BC6="","◄",IF(BC6="NE","~",""))</f>
        <v/>
      </c>
      <c r="BF6" s="23" t="n"/>
      <c r="BG6" s="24">
        <f>IF(BF6="","",IF(BF6="NE","",(IFERROR(IF(ISNUMBER(BF6),BF6,VALUE(BF6)),0)/2)*$F6*$F$5*20))</f>
        <v/>
      </c>
      <c r="BH6" s="25">
        <f>IF(BF6="","◄",IF(BF6="NE","~",""))</f>
        <v/>
      </c>
      <c r="BI6" s="23" t="n"/>
      <c r="BJ6" s="24">
        <f>IF(BI6="","",IF(BI6="NE","",(IFERROR(IF(ISNUMBER(BI6),BI6,VALUE(BI6)),0)/2)*$F6*$F$5*20))</f>
        <v/>
      </c>
      <c r="BK6" s="25">
        <f>IF(BI6="","◄",IF(BI6="NE","~",""))</f>
        <v/>
      </c>
      <c r="BL6" s="23" t="n"/>
      <c r="BM6" s="24">
        <f>IF(BL6="","",IF(BL6="NE","",(IFERROR(IF(ISNUMBER(BL6),BL6,VALUE(BL6)),0)/2)*$F6*$F$5*20))</f>
        <v/>
      </c>
      <c r="BN6" s="25">
        <f>IF(BL6="","◄",IF(BL6="NE","~",""))</f>
        <v/>
      </c>
      <c r="BO6" s="23" t="n"/>
      <c r="BP6" s="24">
        <f>IF(BO6="","",IF(BO6="NE","",(IFERROR(IF(ISNUMBER(BO6),BO6,VALUE(BO6)),0)/2)*$F6*$F$5*20))</f>
        <v/>
      </c>
      <c r="BQ6" s="25">
        <f>IF(BO6="","◄",IF(BO6="NE","~",""))</f>
        <v/>
      </c>
      <c r="BR6" s="23" t="n"/>
      <c r="BS6" s="24">
        <f>IF(BR6="","",IF(BR6="NE","",(IFERROR(IF(ISNUMBER(BR6),BR6,VALUE(BR6)),0)/2)*$F6*$F$5*20))</f>
        <v/>
      </c>
      <c r="BT6" s="25">
        <f>IF(BR6="","◄",IF(BR6="NE","~",""))</f>
        <v/>
      </c>
      <c r="BU6" s="23" t="n"/>
      <c r="BV6" s="24">
        <f>IF(BU6="","",IF(BU6="NE","",(IFERROR(IF(ISNUMBER(BU6),BU6,VALUE(BU6)),0)/2)*$F6*$F$5*20))</f>
        <v/>
      </c>
      <c r="BW6" s="25">
        <f>IF(BU6="","◄",IF(BU6="NE","~",""))</f>
        <v/>
      </c>
      <c r="BX6" s="23" t="n"/>
      <c r="BY6" s="24">
        <f>IF(BX6="","",IF(BX6="NE","",(IFERROR(IF(ISNUMBER(BX6),BX6,VALUE(BX6)),0)/2)*$F6*$F$5*20))</f>
        <v/>
      </c>
      <c r="BZ6" s="25">
        <f>IF(BX6="","◄",IF(BX6="NE","~",""))</f>
        <v/>
      </c>
      <c r="CA6" s="23" t="n"/>
      <c r="CB6" s="24">
        <f>IF(CA6="","",IF(CA6="NE","",(IFERROR(IF(ISNUMBER(CA6),CA6,VALUE(CA6)),0)/2)*$F6*$F$5*20))</f>
        <v/>
      </c>
      <c r="CC6" s="25">
        <f>IF(CA6="","◄",IF(CA6="NE","~",""))</f>
        <v/>
      </c>
      <c r="CD6" s="23" t="n"/>
      <c r="CE6" s="24">
        <f>IF(CD6="","",IF(CD6="NE","",(IFERROR(IF(ISNUMBER(CD6),CD6,VALUE(CD6)),0)/2)*$F6*$F$5*20))</f>
        <v/>
      </c>
      <c r="CF6" s="25">
        <f>IF(CD6="","◄",IF(CD6="NE","~",""))</f>
        <v/>
      </c>
      <c r="CG6" s="23" t="n"/>
      <c r="CH6" s="24">
        <f>IF(CG6="","",IF(CG6="NE","",(IFERROR(IF(ISNUMBER(CG6),CG6,VALUE(CG6)),0)/2)*$F6*$F$5*20))</f>
        <v/>
      </c>
      <c r="CI6" s="25">
        <f>IF(CG6="","◄",IF(CG6="NE","~",""))</f>
        <v/>
      </c>
      <c r="CJ6" s="23" t="n"/>
      <c r="CK6" s="24">
        <f>IF(CJ6="","",IF(CJ6="NE","",(IFERROR(IF(ISNUMBER(CJ6),CJ6,VALUE(CJ6)),0)/2)*$F6*$F$5*20))</f>
        <v/>
      </c>
      <c r="CL6" s="25">
        <f>IF(CJ6="","◄",IF(CJ6="NE","~",""))</f>
        <v/>
      </c>
      <c r="CM6" s="23" t="n"/>
      <c r="CN6" s="24">
        <f>IF(CM6="","",IF(CM6="NE","",(IFERROR(IF(ISNUMBER(CM6),CM6,VALUE(CM6)),0)/2)*$F6*$F$5*20))</f>
        <v/>
      </c>
      <c r="CO6" s="25">
        <f>IF(CM6="","◄",IF(CM6="NE","~",""))</f>
        <v/>
      </c>
      <c r="CP6" s="23" t="n"/>
      <c r="CQ6" s="24">
        <f>IF(CP6="","",IF(CP6="NE","",(IFERROR(IF(ISNUMBER(CP6),CP6,VALUE(CP6)),0)/2)*$F6*$F$5*20))</f>
        <v/>
      </c>
      <c r="CR6" s="25">
        <f>IF(CP6="","◄",IF(CP6="NE","~",""))</f>
        <v/>
      </c>
    </row>
    <row r="7" ht="36" customHeight="1">
      <c r="A7" s="20" t="n">
        <v>2</v>
      </c>
      <c r="B7" s="20" t="inlineStr">
        <is>
          <t>P1</t>
        </is>
      </c>
      <c r="C7" s="20" t="inlineStr">
        <is>
          <t>Q1.1</t>
        </is>
      </c>
      <c r="D7" s="20" t="inlineStr">
        <is>
          <t>Critère</t>
        </is>
      </c>
      <c r="E7" s="21" t="inlineStr">
        <is>
          <t>Il faut construire une nouvelle station pour répondre à l'augmentation de population.</t>
        </is>
      </c>
      <c r="F7" s="22" t="n">
        <v>0.15</v>
      </c>
      <c r="G7" s="23" t="n"/>
      <c r="H7" s="24">
        <f>IF(G7="","",IF(G7="NE","",(IFERROR(IF(ISNUMBER(G7),G7,VALUE(G7)),0)/2)*$F7*$F$5*20))</f>
        <v/>
      </c>
      <c r="I7" s="25">
        <f>IF(G7="","◄",IF(G7="NE","~",""))</f>
        <v/>
      </c>
      <c r="J7" s="23" t="n"/>
      <c r="K7" s="24">
        <f>IF(J7="","",IF(J7="NE","",(IFERROR(IF(ISNUMBER(J7),J7,VALUE(J7)),0)/2)*$F7*$F$5*20))</f>
        <v/>
      </c>
      <c r="L7" s="25">
        <f>IF(J7="","◄",IF(J7="NE","~",""))</f>
        <v/>
      </c>
      <c r="M7" s="23" t="n"/>
      <c r="N7" s="24">
        <f>IF(M7="","",IF(M7="NE","",(IFERROR(IF(ISNUMBER(M7),M7,VALUE(M7)),0)/2)*$F7*$F$5*20))</f>
        <v/>
      </c>
      <c r="O7" s="25">
        <f>IF(M7="","◄",IF(M7="NE","~",""))</f>
        <v/>
      </c>
      <c r="P7" s="23" t="n"/>
      <c r="Q7" s="24">
        <f>IF(P7="","",IF(P7="NE","",(IFERROR(IF(ISNUMBER(P7),P7,VALUE(P7)),0)/2)*$F7*$F$5*20))</f>
        <v/>
      </c>
      <c r="R7" s="25">
        <f>IF(P7="","◄",IF(P7="NE","~",""))</f>
        <v/>
      </c>
      <c r="S7" s="23" t="n"/>
      <c r="T7" s="24">
        <f>IF(S7="","",IF(S7="NE","",(IFERROR(IF(ISNUMBER(S7),S7,VALUE(S7)),0)/2)*$F7*$F$5*20))</f>
        <v/>
      </c>
      <c r="U7" s="25">
        <f>IF(S7="","◄",IF(S7="NE","~",""))</f>
        <v/>
      </c>
      <c r="V7" s="23" t="n"/>
      <c r="W7" s="24">
        <f>IF(V7="","",IF(V7="NE","",(IFERROR(IF(ISNUMBER(V7),V7,VALUE(V7)),0)/2)*$F7*$F$5*20))</f>
        <v/>
      </c>
      <c r="X7" s="25">
        <f>IF(V7="","◄",IF(V7="NE","~",""))</f>
        <v/>
      </c>
      <c r="Y7" s="23" t="n"/>
      <c r="Z7" s="24">
        <f>IF(Y7="","",IF(Y7="NE","",(IFERROR(IF(ISNUMBER(Y7),Y7,VALUE(Y7)),0)/2)*$F7*$F$5*20))</f>
        <v/>
      </c>
      <c r="AA7" s="25">
        <f>IF(Y7="","◄",IF(Y7="NE","~",""))</f>
        <v/>
      </c>
      <c r="AB7" s="23" t="n"/>
      <c r="AC7" s="24">
        <f>IF(AB7="","",IF(AB7="NE","",(IFERROR(IF(ISNUMBER(AB7),AB7,VALUE(AB7)),0)/2)*$F7*$F$5*20))</f>
        <v/>
      </c>
      <c r="AD7" s="25">
        <f>IF(AB7="","◄",IF(AB7="NE","~",""))</f>
        <v/>
      </c>
      <c r="AE7" s="23" t="n"/>
      <c r="AF7" s="24">
        <f>IF(AE7="","",IF(AE7="NE","",(IFERROR(IF(ISNUMBER(AE7),AE7,VALUE(AE7)),0)/2)*$F7*$F$5*20))</f>
        <v/>
      </c>
      <c r="AG7" s="25">
        <f>IF(AE7="","◄",IF(AE7="NE","~",""))</f>
        <v/>
      </c>
      <c r="AH7" s="23" t="n"/>
      <c r="AI7" s="24">
        <f>IF(AH7="","",IF(AH7="NE","",(IFERROR(IF(ISNUMBER(AH7),AH7,VALUE(AH7)),0)/2)*$F7*$F$5*20))</f>
        <v/>
      </c>
      <c r="AJ7" s="25">
        <f>IF(AH7="","◄",IF(AH7="NE","~",""))</f>
        <v/>
      </c>
      <c r="AK7" s="23" t="n"/>
      <c r="AL7" s="24">
        <f>IF(AK7="","",IF(AK7="NE","",(IFERROR(IF(ISNUMBER(AK7),AK7,VALUE(AK7)),0)/2)*$F7*$F$5*20))</f>
        <v/>
      </c>
      <c r="AM7" s="25">
        <f>IF(AK7="","◄",IF(AK7="NE","~",""))</f>
        <v/>
      </c>
      <c r="AN7" s="23" t="n"/>
      <c r="AO7" s="24">
        <f>IF(AN7="","",IF(AN7="NE","",(IFERROR(IF(ISNUMBER(AN7),AN7,VALUE(AN7)),0)/2)*$F7*$F$5*20))</f>
        <v/>
      </c>
      <c r="AP7" s="25">
        <f>IF(AN7="","◄",IF(AN7="NE","~",""))</f>
        <v/>
      </c>
      <c r="AQ7" s="23" t="n"/>
      <c r="AR7" s="24">
        <f>IF(AQ7="","",IF(AQ7="NE","",(IFERROR(IF(ISNUMBER(AQ7),AQ7,VALUE(AQ7)),0)/2)*$F7*$F$5*20))</f>
        <v/>
      </c>
      <c r="AS7" s="25">
        <f>IF(AQ7="","◄",IF(AQ7="NE","~",""))</f>
        <v/>
      </c>
      <c r="AT7" s="23" t="n"/>
      <c r="AU7" s="24">
        <f>IF(AT7="","",IF(AT7="NE","",(IFERROR(IF(ISNUMBER(AT7),AT7,VALUE(AT7)),0)/2)*$F7*$F$5*20))</f>
        <v/>
      </c>
      <c r="AV7" s="25">
        <f>IF(AT7="","◄",IF(AT7="NE","~",""))</f>
        <v/>
      </c>
      <c r="AW7" s="23" t="n"/>
      <c r="AX7" s="24">
        <f>IF(AW7="","",IF(AW7="NE","",(IFERROR(IF(ISNUMBER(AW7),AW7,VALUE(AW7)),0)/2)*$F7*$F$5*20))</f>
        <v/>
      </c>
      <c r="AY7" s="25">
        <f>IF(AW7="","◄",IF(AW7="NE","~",""))</f>
        <v/>
      </c>
      <c r="AZ7" s="23" t="n"/>
      <c r="BA7" s="24">
        <f>IF(AZ7="","",IF(AZ7="NE","",(IFERROR(IF(ISNUMBER(AZ7),AZ7,VALUE(AZ7)),0)/2)*$F7*$F$5*20))</f>
        <v/>
      </c>
      <c r="BB7" s="25">
        <f>IF(AZ7="","◄",IF(AZ7="NE","~",""))</f>
        <v/>
      </c>
      <c r="BC7" s="23" t="n"/>
      <c r="BD7" s="24">
        <f>IF(BC7="","",IF(BC7="NE","",(IFERROR(IF(ISNUMBER(BC7),BC7,VALUE(BC7)),0)/2)*$F7*$F$5*20))</f>
        <v/>
      </c>
      <c r="BE7" s="25">
        <f>IF(BC7="","◄",IF(BC7="NE","~",""))</f>
        <v/>
      </c>
      <c r="BF7" s="23" t="n"/>
      <c r="BG7" s="24">
        <f>IF(BF7="","",IF(BF7="NE","",(IFERROR(IF(ISNUMBER(BF7),BF7,VALUE(BF7)),0)/2)*$F7*$F$5*20))</f>
        <v/>
      </c>
      <c r="BH7" s="25">
        <f>IF(BF7="","◄",IF(BF7="NE","~",""))</f>
        <v/>
      </c>
      <c r="BI7" s="23" t="n"/>
      <c r="BJ7" s="24">
        <f>IF(BI7="","",IF(BI7="NE","",(IFERROR(IF(ISNUMBER(BI7),BI7,VALUE(BI7)),0)/2)*$F7*$F$5*20))</f>
        <v/>
      </c>
      <c r="BK7" s="25">
        <f>IF(BI7="","◄",IF(BI7="NE","~",""))</f>
        <v/>
      </c>
      <c r="BL7" s="23" t="n"/>
      <c r="BM7" s="24">
        <f>IF(BL7="","",IF(BL7="NE","",(IFERROR(IF(ISNUMBER(BL7),BL7,VALUE(BL7)),0)/2)*$F7*$F$5*20))</f>
        <v/>
      </c>
      <c r="BN7" s="25">
        <f>IF(BL7="","◄",IF(BL7="NE","~",""))</f>
        <v/>
      </c>
      <c r="BO7" s="23" t="n"/>
      <c r="BP7" s="24">
        <f>IF(BO7="","",IF(BO7="NE","",(IFERROR(IF(ISNUMBER(BO7),BO7,VALUE(BO7)),0)/2)*$F7*$F$5*20))</f>
        <v/>
      </c>
      <c r="BQ7" s="25">
        <f>IF(BO7="","◄",IF(BO7="NE","~",""))</f>
        <v/>
      </c>
      <c r="BR7" s="23" t="n"/>
      <c r="BS7" s="24">
        <f>IF(BR7="","",IF(BR7="NE","",(IFERROR(IF(ISNUMBER(BR7),BR7,VALUE(BR7)),0)/2)*$F7*$F$5*20))</f>
        <v/>
      </c>
      <c r="BT7" s="25">
        <f>IF(BR7="","◄",IF(BR7="NE","~",""))</f>
        <v/>
      </c>
      <c r="BU7" s="23" t="n"/>
      <c r="BV7" s="24">
        <f>IF(BU7="","",IF(BU7="NE","",(IFERROR(IF(ISNUMBER(BU7),BU7,VALUE(BU7)),0)/2)*$F7*$F$5*20))</f>
        <v/>
      </c>
      <c r="BW7" s="25">
        <f>IF(BU7="","◄",IF(BU7="NE","~",""))</f>
        <v/>
      </c>
      <c r="BX7" s="23" t="n"/>
      <c r="BY7" s="24">
        <f>IF(BX7="","",IF(BX7="NE","",(IFERROR(IF(ISNUMBER(BX7),BX7,VALUE(BX7)),0)/2)*$F7*$F$5*20))</f>
        <v/>
      </c>
      <c r="BZ7" s="25">
        <f>IF(BX7="","◄",IF(BX7="NE","~",""))</f>
        <v/>
      </c>
      <c r="CA7" s="23" t="n"/>
      <c r="CB7" s="24">
        <f>IF(CA7="","",IF(CA7="NE","",(IFERROR(IF(ISNUMBER(CA7),CA7,VALUE(CA7)),0)/2)*$F7*$F$5*20))</f>
        <v/>
      </c>
      <c r="CC7" s="25">
        <f>IF(CA7="","◄",IF(CA7="NE","~",""))</f>
        <v/>
      </c>
      <c r="CD7" s="23" t="n"/>
      <c r="CE7" s="24">
        <f>IF(CD7="","",IF(CD7="NE","",(IFERROR(IF(ISNUMBER(CD7),CD7,VALUE(CD7)),0)/2)*$F7*$F$5*20))</f>
        <v/>
      </c>
      <c r="CF7" s="25">
        <f>IF(CD7="","◄",IF(CD7="NE","~",""))</f>
        <v/>
      </c>
      <c r="CG7" s="23" t="n"/>
      <c r="CH7" s="24">
        <f>IF(CG7="","",IF(CG7="NE","",(IFERROR(IF(ISNUMBER(CG7),CG7,VALUE(CG7)),0)/2)*$F7*$F$5*20))</f>
        <v/>
      </c>
      <c r="CI7" s="25">
        <f>IF(CG7="","◄",IF(CG7="NE","~",""))</f>
        <v/>
      </c>
      <c r="CJ7" s="23" t="n"/>
      <c r="CK7" s="24">
        <f>IF(CJ7="","",IF(CJ7="NE","",(IFERROR(IF(ISNUMBER(CJ7),CJ7,VALUE(CJ7)),0)/2)*$F7*$F$5*20))</f>
        <v/>
      </c>
      <c r="CL7" s="25">
        <f>IF(CJ7="","◄",IF(CJ7="NE","~",""))</f>
        <v/>
      </c>
      <c r="CM7" s="23" t="n"/>
      <c r="CN7" s="24">
        <f>IF(CM7="","",IF(CM7="NE","",(IFERROR(IF(ISNUMBER(CM7),CM7,VALUE(CM7)),0)/2)*$F7*$F$5*20))</f>
        <v/>
      </c>
      <c r="CO7" s="25">
        <f>IF(CM7="","◄",IF(CM7="NE","~",""))</f>
        <v/>
      </c>
      <c r="CP7" s="23" t="n"/>
      <c r="CQ7" s="24">
        <f>IF(CP7="","",IF(CP7="NE","",(IFERROR(IF(ISNUMBER(CP7),CP7,VALUE(CP7)),0)/2)*$F7*$F$5*20))</f>
        <v/>
      </c>
      <c r="CR7" s="25">
        <f>IF(CP7="","◄",IF(CP7="NE","~",""))</f>
        <v/>
      </c>
    </row>
    <row r="8" ht="36" customHeight="1">
      <c r="A8" s="20" t="n">
        <v>3</v>
      </c>
      <c r="B8" s="20" t="inlineStr">
        <is>
          <t>P1</t>
        </is>
      </c>
      <c r="C8" s="20" t="inlineStr">
        <is>
          <t>Q1.2</t>
        </is>
      </c>
      <c r="D8" s="20" t="inlineStr">
        <is>
          <t>Critère</t>
        </is>
      </c>
      <c r="E8" s="21" t="inlineStr">
        <is>
          <t>Justification : terrain près du Rhône, près du périphérique, point altimétrique bas, entouré de parc naturel (pas d'habitation proche).</t>
        </is>
      </c>
      <c r="F8" s="22" t="n">
        <v>0.15</v>
      </c>
      <c r="G8" s="23" t="n"/>
      <c r="H8" s="24">
        <f>IF(G8="","",IF(G8="NE","",(IFERROR(IF(ISNUMBER(G8),G8,VALUE(G8)),0)/2)*$F8*$F$5*20))</f>
        <v/>
      </c>
      <c r="I8" s="25">
        <f>IF(G8="","◄",IF(G8="NE","~",""))</f>
        <v/>
      </c>
      <c r="J8" s="23" t="n"/>
      <c r="K8" s="24">
        <f>IF(J8="","",IF(J8="NE","",(IFERROR(IF(ISNUMBER(J8),J8,VALUE(J8)),0)/2)*$F8*$F$5*20))</f>
        <v/>
      </c>
      <c r="L8" s="25">
        <f>IF(J8="","◄",IF(J8="NE","~",""))</f>
        <v/>
      </c>
      <c r="M8" s="23" t="n"/>
      <c r="N8" s="24">
        <f>IF(M8="","",IF(M8="NE","",(IFERROR(IF(ISNUMBER(M8),M8,VALUE(M8)),0)/2)*$F8*$F$5*20))</f>
        <v/>
      </c>
      <c r="O8" s="25">
        <f>IF(M8="","◄",IF(M8="NE","~",""))</f>
        <v/>
      </c>
      <c r="P8" s="23" t="n"/>
      <c r="Q8" s="24">
        <f>IF(P8="","",IF(P8="NE","",(IFERROR(IF(ISNUMBER(P8),P8,VALUE(P8)),0)/2)*$F8*$F$5*20))</f>
        <v/>
      </c>
      <c r="R8" s="25">
        <f>IF(P8="","◄",IF(P8="NE","~",""))</f>
        <v/>
      </c>
      <c r="S8" s="23" t="n"/>
      <c r="T8" s="24">
        <f>IF(S8="","",IF(S8="NE","",(IFERROR(IF(ISNUMBER(S8),S8,VALUE(S8)),0)/2)*$F8*$F$5*20))</f>
        <v/>
      </c>
      <c r="U8" s="25">
        <f>IF(S8="","◄",IF(S8="NE","~",""))</f>
        <v/>
      </c>
      <c r="V8" s="23" t="n"/>
      <c r="W8" s="24">
        <f>IF(V8="","",IF(V8="NE","",(IFERROR(IF(ISNUMBER(V8),V8,VALUE(V8)),0)/2)*$F8*$F$5*20))</f>
        <v/>
      </c>
      <c r="X8" s="25">
        <f>IF(V8="","◄",IF(V8="NE","~",""))</f>
        <v/>
      </c>
      <c r="Y8" s="23" t="n"/>
      <c r="Z8" s="24">
        <f>IF(Y8="","",IF(Y8="NE","",(IFERROR(IF(ISNUMBER(Y8),Y8,VALUE(Y8)),0)/2)*$F8*$F$5*20))</f>
        <v/>
      </c>
      <c r="AA8" s="25">
        <f>IF(Y8="","◄",IF(Y8="NE","~",""))</f>
        <v/>
      </c>
      <c r="AB8" s="23" t="n"/>
      <c r="AC8" s="24">
        <f>IF(AB8="","",IF(AB8="NE","",(IFERROR(IF(ISNUMBER(AB8),AB8,VALUE(AB8)),0)/2)*$F8*$F$5*20))</f>
        <v/>
      </c>
      <c r="AD8" s="25">
        <f>IF(AB8="","◄",IF(AB8="NE","~",""))</f>
        <v/>
      </c>
      <c r="AE8" s="23" t="n"/>
      <c r="AF8" s="24">
        <f>IF(AE8="","",IF(AE8="NE","",(IFERROR(IF(ISNUMBER(AE8),AE8,VALUE(AE8)),0)/2)*$F8*$F$5*20))</f>
        <v/>
      </c>
      <c r="AG8" s="25">
        <f>IF(AE8="","◄",IF(AE8="NE","~",""))</f>
        <v/>
      </c>
      <c r="AH8" s="23" t="n"/>
      <c r="AI8" s="24">
        <f>IF(AH8="","",IF(AH8="NE","",(IFERROR(IF(ISNUMBER(AH8),AH8,VALUE(AH8)),0)/2)*$F8*$F$5*20))</f>
        <v/>
      </c>
      <c r="AJ8" s="25">
        <f>IF(AH8="","◄",IF(AH8="NE","~",""))</f>
        <v/>
      </c>
      <c r="AK8" s="23" t="n"/>
      <c r="AL8" s="24">
        <f>IF(AK8="","",IF(AK8="NE","",(IFERROR(IF(ISNUMBER(AK8),AK8,VALUE(AK8)),0)/2)*$F8*$F$5*20))</f>
        <v/>
      </c>
      <c r="AM8" s="25">
        <f>IF(AK8="","◄",IF(AK8="NE","~",""))</f>
        <v/>
      </c>
      <c r="AN8" s="23" t="n"/>
      <c r="AO8" s="24">
        <f>IF(AN8="","",IF(AN8="NE","",(IFERROR(IF(ISNUMBER(AN8),AN8,VALUE(AN8)),0)/2)*$F8*$F$5*20))</f>
        <v/>
      </c>
      <c r="AP8" s="25">
        <f>IF(AN8="","◄",IF(AN8="NE","~",""))</f>
        <v/>
      </c>
      <c r="AQ8" s="23" t="n"/>
      <c r="AR8" s="24">
        <f>IF(AQ8="","",IF(AQ8="NE","",(IFERROR(IF(ISNUMBER(AQ8),AQ8,VALUE(AQ8)),0)/2)*$F8*$F$5*20))</f>
        <v/>
      </c>
      <c r="AS8" s="25">
        <f>IF(AQ8="","◄",IF(AQ8="NE","~",""))</f>
        <v/>
      </c>
      <c r="AT8" s="23" t="n"/>
      <c r="AU8" s="24">
        <f>IF(AT8="","",IF(AT8="NE","",(IFERROR(IF(ISNUMBER(AT8),AT8,VALUE(AT8)),0)/2)*$F8*$F$5*20))</f>
        <v/>
      </c>
      <c r="AV8" s="25">
        <f>IF(AT8="","◄",IF(AT8="NE","~",""))</f>
        <v/>
      </c>
      <c r="AW8" s="23" t="n"/>
      <c r="AX8" s="24">
        <f>IF(AW8="","",IF(AW8="NE","",(IFERROR(IF(ISNUMBER(AW8),AW8,VALUE(AW8)),0)/2)*$F8*$F$5*20))</f>
        <v/>
      </c>
      <c r="AY8" s="25">
        <f>IF(AW8="","◄",IF(AW8="NE","~",""))</f>
        <v/>
      </c>
      <c r="AZ8" s="23" t="n"/>
      <c r="BA8" s="24">
        <f>IF(AZ8="","",IF(AZ8="NE","",(IFERROR(IF(ISNUMBER(AZ8),AZ8,VALUE(AZ8)),0)/2)*$F8*$F$5*20))</f>
        <v/>
      </c>
      <c r="BB8" s="25">
        <f>IF(AZ8="","◄",IF(AZ8="NE","~",""))</f>
        <v/>
      </c>
      <c r="BC8" s="23" t="n"/>
      <c r="BD8" s="24">
        <f>IF(BC8="","",IF(BC8="NE","",(IFERROR(IF(ISNUMBER(BC8),BC8,VALUE(BC8)),0)/2)*$F8*$F$5*20))</f>
        <v/>
      </c>
      <c r="BE8" s="25">
        <f>IF(BC8="","◄",IF(BC8="NE","~",""))</f>
        <v/>
      </c>
      <c r="BF8" s="23" t="n"/>
      <c r="BG8" s="24">
        <f>IF(BF8="","",IF(BF8="NE","",(IFERROR(IF(ISNUMBER(BF8),BF8,VALUE(BF8)),0)/2)*$F8*$F$5*20))</f>
        <v/>
      </c>
      <c r="BH8" s="25">
        <f>IF(BF8="","◄",IF(BF8="NE","~",""))</f>
        <v/>
      </c>
      <c r="BI8" s="23" t="n"/>
      <c r="BJ8" s="24">
        <f>IF(BI8="","",IF(BI8="NE","",(IFERROR(IF(ISNUMBER(BI8),BI8,VALUE(BI8)),0)/2)*$F8*$F$5*20))</f>
        <v/>
      </c>
      <c r="BK8" s="25">
        <f>IF(BI8="","◄",IF(BI8="NE","~",""))</f>
        <v/>
      </c>
      <c r="BL8" s="23" t="n"/>
      <c r="BM8" s="24">
        <f>IF(BL8="","",IF(BL8="NE","",(IFERROR(IF(ISNUMBER(BL8),BL8,VALUE(BL8)),0)/2)*$F8*$F$5*20))</f>
        <v/>
      </c>
      <c r="BN8" s="25">
        <f>IF(BL8="","◄",IF(BL8="NE","~",""))</f>
        <v/>
      </c>
      <c r="BO8" s="23" t="n"/>
      <c r="BP8" s="24">
        <f>IF(BO8="","",IF(BO8="NE","",(IFERROR(IF(ISNUMBER(BO8),BO8,VALUE(BO8)),0)/2)*$F8*$F$5*20))</f>
        <v/>
      </c>
      <c r="BQ8" s="25">
        <f>IF(BO8="","◄",IF(BO8="NE","~",""))</f>
        <v/>
      </c>
      <c r="BR8" s="23" t="n"/>
      <c r="BS8" s="24">
        <f>IF(BR8="","",IF(BR8="NE","",(IFERROR(IF(ISNUMBER(BR8),BR8,VALUE(BR8)),0)/2)*$F8*$F$5*20))</f>
        <v/>
      </c>
      <c r="BT8" s="25">
        <f>IF(BR8="","◄",IF(BR8="NE","~",""))</f>
        <v/>
      </c>
      <c r="BU8" s="23" t="n"/>
      <c r="BV8" s="24">
        <f>IF(BU8="","",IF(BU8="NE","",(IFERROR(IF(ISNUMBER(BU8),BU8,VALUE(BU8)),0)/2)*$F8*$F$5*20))</f>
        <v/>
      </c>
      <c r="BW8" s="25">
        <f>IF(BU8="","◄",IF(BU8="NE","~",""))</f>
        <v/>
      </c>
      <c r="BX8" s="23" t="n"/>
      <c r="BY8" s="24">
        <f>IF(BX8="","",IF(BX8="NE","",(IFERROR(IF(ISNUMBER(BX8),BX8,VALUE(BX8)),0)/2)*$F8*$F$5*20))</f>
        <v/>
      </c>
      <c r="BZ8" s="25">
        <f>IF(BX8="","◄",IF(BX8="NE","~",""))</f>
        <v/>
      </c>
      <c r="CA8" s="23" t="n"/>
      <c r="CB8" s="24">
        <f>IF(CA8="","",IF(CA8="NE","",(IFERROR(IF(ISNUMBER(CA8),CA8,VALUE(CA8)),0)/2)*$F8*$F$5*20))</f>
        <v/>
      </c>
      <c r="CC8" s="25">
        <f>IF(CA8="","◄",IF(CA8="NE","~",""))</f>
        <v/>
      </c>
      <c r="CD8" s="23" t="n"/>
      <c r="CE8" s="24">
        <f>IF(CD8="","",IF(CD8="NE","",(IFERROR(IF(ISNUMBER(CD8),CD8,VALUE(CD8)),0)/2)*$F8*$F$5*20))</f>
        <v/>
      </c>
      <c r="CF8" s="25">
        <f>IF(CD8="","◄",IF(CD8="NE","~",""))</f>
        <v/>
      </c>
      <c r="CG8" s="23" t="n"/>
      <c r="CH8" s="24">
        <f>IF(CG8="","",IF(CG8="NE","",(IFERROR(IF(ISNUMBER(CG8),CG8,VALUE(CG8)),0)/2)*$F8*$F$5*20))</f>
        <v/>
      </c>
      <c r="CI8" s="25">
        <f>IF(CG8="","◄",IF(CG8="NE","~",""))</f>
        <v/>
      </c>
      <c r="CJ8" s="23" t="n"/>
      <c r="CK8" s="24">
        <f>IF(CJ8="","",IF(CJ8="NE","",(IFERROR(IF(ISNUMBER(CJ8),CJ8,VALUE(CJ8)),0)/2)*$F8*$F$5*20))</f>
        <v/>
      </c>
      <c r="CL8" s="25">
        <f>IF(CJ8="","◄",IF(CJ8="NE","~",""))</f>
        <v/>
      </c>
      <c r="CM8" s="23" t="n"/>
      <c r="CN8" s="24">
        <f>IF(CM8="","",IF(CM8="NE","",(IFERROR(IF(ISNUMBER(CM8),CM8,VALUE(CM8)),0)/2)*$F8*$F$5*20))</f>
        <v/>
      </c>
      <c r="CO8" s="25">
        <f>IF(CM8="","◄",IF(CM8="NE","~",""))</f>
        <v/>
      </c>
      <c r="CP8" s="23" t="n"/>
      <c r="CQ8" s="24">
        <f>IF(CP8="","",IF(CP8="NE","",(IFERROR(IF(ISNUMBER(CP8),CP8,VALUE(CP8)),0)/2)*$F8*$F$5*20))</f>
        <v/>
      </c>
      <c r="CR8" s="25">
        <f>IF(CP8="","◄",IF(CP8="NE","~",""))</f>
        <v/>
      </c>
    </row>
    <row r="9" ht="36" customHeight="1">
      <c r="A9" s="20" t="n">
        <v>4</v>
      </c>
      <c r="B9" s="20" t="inlineStr">
        <is>
          <t>P1</t>
        </is>
      </c>
      <c r="C9" s="20" t="inlineStr">
        <is>
          <t>Q1.3</t>
        </is>
      </c>
      <c r="D9" s="20" t="inlineStr">
        <is>
          <t>Critère</t>
        </is>
      </c>
      <c r="E9" s="21" t="inlineStr">
        <is>
          <t>Surface lit roseaux = 10 m²/EqHab × 300 000 = 3 000 000 m² (300 ha).</t>
        </is>
      </c>
      <c r="F9" s="22" t="n">
        <v>0.15</v>
      </c>
      <c r="G9" s="23" t="n"/>
      <c r="H9" s="24">
        <f>IF(G9="","",IF(G9="NE","",(IFERROR(IF(ISNUMBER(G9),G9,VALUE(G9)),0)/2)*$F9*$F$5*20))</f>
        <v/>
      </c>
      <c r="I9" s="25">
        <f>IF(G9="","◄",IF(G9="NE","~",""))</f>
        <v/>
      </c>
      <c r="J9" s="23" t="n"/>
      <c r="K9" s="24">
        <f>IF(J9="","",IF(J9="NE","",(IFERROR(IF(ISNUMBER(J9),J9,VALUE(J9)),0)/2)*$F9*$F$5*20))</f>
        <v/>
      </c>
      <c r="L9" s="25">
        <f>IF(J9="","◄",IF(J9="NE","~",""))</f>
        <v/>
      </c>
      <c r="M9" s="23" t="n"/>
      <c r="N9" s="24">
        <f>IF(M9="","",IF(M9="NE","",(IFERROR(IF(ISNUMBER(M9),M9,VALUE(M9)),0)/2)*$F9*$F$5*20))</f>
        <v/>
      </c>
      <c r="O9" s="25">
        <f>IF(M9="","◄",IF(M9="NE","~",""))</f>
        <v/>
      </c>
      <c r="P9" s="23" t="n"/>
      <c r="Q9" s="24">
        <f>IF(P9="","",IF(P9="NE","",(IFERROR(IF(ISNUMBER(P9),P9,VALUE(P9)),0)/2)*$F9*$F$5*20))</f>
        <v/>
      </c>
      <c r="R9" s="25">
        <f>IF(P9="","◄",IF(P9="NE","~",""))</f>
        <v/>
      </c>
      <c r="S9" s="23" t="n"/>
      <c r="T9" s="24">
        <f>IF(S9="","",IF(S9="NE","",(IFERROR(IF(ISNUMBER(S9),S9,VALUE(S9)),0)/2)*$F9*$F$5*20))</f>
        <v/>
      </c>
      <c r="U9" s="25">
        <f>IF(S9="","◄",IF(S9="NE","~",""))</f>
        <v/>
      </c>
      <c r="V9" s="23" t="n"/>
      <c r="W9" s="24">
        <f>IF(V9="","",IF(V9="NE","",(IFERROR(IF(ISNUMBER(V9),V9,VALUE(V9)),0)/2)*$F9*$F$5*20))</f>
        <v/>
      </c>
      <c r="X9" s="25">
        <f>IF(V9="","◄",IF(V9="NE","~",""))</f>
        <v/>
      </c>
      <c r="Y9" s="23" t="n"/>
      <c r="Z9" s="24">
        <f>IF(Y9="","",IF(Y9="NE","",(IFERROR(IF(ISNUMBER(Y9),Y9,VALUE(Y9)),0)/2)*$F9*$F$5*20))</f>
        <v/>
      </c>
      <c r="AA9" s="25">
        <f>IF(Y9="","◄",IF(Y9="NE","~",""))</f>
        <v/>
      </c>
      <c r="AB9" s="23" t="n"/>
      <c r="AC9" s="24">
        <f>IF(AB9="","",IF(AB9="NE","",(IFERROR(IF(ISNUMBER(AB9),AB9,VALUE(AB9)),0)/2)*$F9*$F$5*20))</f>
        <v/>
      </c>
      <c r="AD9" s="25">
        <f>IF(AB9="","◄",IF(AB9="NE","~",""))</f>
        <v/>
      </c>
      <c r="AE9" s="23" t="n"/>
      <c r="AF9" s="24">
        <f>IF(AE9="","",IF(AE9="NE","",(IFERROR(IF(ISNUMBER(AE9),AE9,VALUE(AE9)),0)/2)*$F9*$F$5*20))</f>
        <v/>
      </c>
      <c r="AG9" s="25">
        <f>IF(AE9="","◄",IF(AE9="NE","~",""))</f>
        <v/>
      </c>
      <c r="AH9" s="23" t="n"/>
      <c r="AI9" s="24">
        <f>IF(AH9="","",IF(AH9="NE","",(IFERROR(IF(ISNUMBER(AH9),AH9,VALUE(AH9)),0)/2)*$F9*$F$5*20))</f>
        <v/>
      </c>
      <c r="AJ9" s="25">
        <f>IF(AH9="","◄",IF(AH9="NE","~",""))</f>
        <v/>
      </c>
      <c r="AK9" s="23" t="n"/>
      <c r="AL9" s="24">
        <f>IF(AK9="","",IF(AK9="NE","",(IFERROR(IF(ISNUMBER(AK9),AK9,VALUE(AK9)),0)/2)*$F9*$F$5*20))</f>
        <v/>
      </c>
      <c r="AM9" s="25">
        <f>IF(AK9="","◄",IF(AK9="NE","~",""))</f>
        <v/>
      </c>
      <c r="AN9" s="23" t="n"/>
      <c r="AO9" s="24">
        <f>IF(AN9="","",IF(AN9="NE","",(IFERROR(IF(ISNUMBER(AN9),AN9,VALUE(AN9)),0)/2)*$F9*$F$5*20))</f>
        <v/>
      </c>
      <c r="AP9" s="25">
        <f>IF(AN9="","◄",IF(AN9="NE","~",""))</f>
        <v/>
      </c>
      <c r="AQ9" s="23" t="n"/>
      <c r="AR9" s="24">
        <f>IF(AQ9="","",IF(AQ9="NE","",(IFERROR(IF(ISNUMBER(AQ9),AQ9,VALUE(AQ9)),0)/2)*$F9*$F$5*20))</f>
        <v/>
      </c>
      <c r="AS9" s="25">
        <f>IF(AQ9="","◄",IF(AQ9="NE","~",""))</f>
        <v/>
      </c>
      <c r="AT9" s="23" t="n"/>
      <c r="AU9" s="24">
        <f>IF(AT9="","",IF(AT9="NE","",(IFERROR(IF(ISNUMBER(AT9),AT9,VALUE(AT9)),0)/2)*$F9*$F$5*20))</f>
        <v/>
      </c>
      <c r="AV9" s="25">
        <f>IF(AT9="","◄",IF(AT9="NE","~",""))</f>
        <v/>
      </c>
      <c r="AW9" s="23" t="n"/>
      <c r="AX9" s="24">
        <f>IF(AW9="","",IF(AW9="NE","",(IFERROR(IF(ISNUMBER(AW9),AW9,VALUE(AW9)),0)/2)*$F9*$F$5*20))</f>
        <v/>
      </c>
      <c r="AY9" s="25">
        <f>IF(AW9="","◄",IF(AW9="NE","~",""))</f>
        <v/>
      </c>
      <c r="AZ9" s="23" t="n"/>
      <c r="BA9" s="24">
        <f>IF(AZ9="","",IF(AZ9="NE","",(IFERROR(IF(ISNUMBER(AZ9),AZ9,VALUE(AZ9)),0)/2)*$F9*$F$5*20))</f>
        <v/>
      </c>
      <c r="BB9" s="25">
        <f>IF(AZ9="","◄",IF(AZ9="NE","~",""))</f>
        <v/>
      </c>
      <c r="BC9" s="23" t="n"/>
      <c r="BD9" s="24">
        <f>IF(BC9="","",IF(BC9="NE","",(IFERROR(IF(ISNUMBER(BC9),BC9,VALUE(BC9)),0)/2)*$F9*$F$5*20))</f>
        <v/>
      </c>
      <c r="BE9" s="25">
        <f>IF(BC9="","◄",IF(BC9="NE","~",""))</f>
        <v/>
      </c>
      <c r="BF9" s="23" t="n"/>
      <c r="BG9" s="24">
        <f>IF(BF9="","",IF(BF9="NE","",(IFERROR(IF(ISNUMBER(BF9),BF9,VALUE(BF9)),0)/2)*$F9*$F$5*20))</f>
        <v/>
      </c>
      <c r="BH9" s="25">
        <f>IF(BF9="","◄",IF(BF9="NE","~",""))</f>
        <v/>
      </c>
      <c r="BI9" s="23" t="n"/>
      <c r="BJ9" s="24">
        <f>IF(BI9="","",IF(BI9="NE","",(IFERROR(IF(ISNUMBER(BI9),BI9,VALUE(BI9)),0)/2)*$F9*$F$5*20))</f>
        <v/>
      </c>
      <c r="BK9" s="25">
        <f>IF(BI9="","◄",IF(BI9="NE","~",""))</f>
        <v/>
      </c>
      <c r="BL9" s="23" t="n"/>
      <c r="BM9" s="24">
        <f>IF(BL9="","",IF(BL9="NE","",(IFERROR(IF(ISNUMBER(BL9),BL9,VALUE(BL9)),0)/2)*$F9*$F$5*20))</f>
        <v/>
      </c>
      <c r="BN9" s="25">
        <f>IF(BL9="","◄",IF(BL9="NE","~",""))</f>
        <v/>
      </c>
      <c r="BO9" s="23" t="n"/>
      <c r="BP9" s="24">
        <f>IF(BO9="","",IF(BO9="NE","",(IFERROR(IF(ISNUMBER(BO9),BO9,VALUE(BO9)),0)/2)*$F9*$F$5*20))</f>
        <v/>
      </c>
      <c r="BQ9" s="25">
        <f>IF(BO9="","◄",IF(BO9="NE","~",""))</f>
        <v/>
      </c>
      <c r="BR9" s="23" t="n"/>
      <c r="BS9" s="24">
        <f>IF(BR9="","",IF(BR9="NE","",(IFERROR(IF(ISNUMBER(BR9),BR9,VALUE(BR9)),0)/2)*$F9*$F$5*20))</f>
        <v/>
      </c>
      <c r="BT9" s="25">
        <f>IF(BR9="","◄",IF(BR9="NE","~",""))</f>
        <v/>
      </c>
      <c r="BU9" s="23" t="n"/>
      <c r="BV9" s="24">
        <f>IF(BU9="","",IF(BU9="NE","",(IFERROR(IF(ISNUMBER(BU9),BU9,VALUE(BU9)),0)/2)*$F9*$F$5*20))</f>
        <v/>
      </c>
      <c r="BW9" s="25">
        <f>IF(BU9="","◄",IF(BU9="NE","~",""))</f>
        <v/>
      </c>
      <c r="BX9" s="23" t="n"/>
      <c r="BY9" s="24">
        <f>IF(BX9="","",IF(BX9="NE","",(IFERROR(IF(ISNUMBER(BX9),BX9,VALUE(BX9)),0)/2)*$F9*$F$5*20))</f>
        <v/>
      </c>
      <c r="BZ9" s="25">
        <f>IF(BX9="","◄",IF(BX9="NE","~",""))</f>
        <v/>
      </c>
      <c r="CA9" s="23" t="n"/>
      <c r="CB9" s="24">
        <f>IF(CA9="","",IF(CA9="NE","",(IFERROR(IF(ISNUMBER(CA9),CA9,VALUE(CA9)),0)/2)*$F9*$F$5*20))</f>
        <v/>
      </c>
      <c r="CC9" s="25">
        <f>IF(CA9="","◄",IF(CA9="NE","~",""))</f>
        <v/>
      </c>
      <c r="CD9" s="23" t="n"/>
      <c r="CE9" s="24">
        <f>IF(CD9="","",IF(CD9="NE","",(IFERROR(IF(ISNUMBER(CD9),CD9,VALUE(CD9)),0)/2)*$F9*$F$5*20))</f>
        <v/>
      </c>
      <c r="CF9" s="25">
        <f>IF(CD9="","◄",IF(CD9="NE","~",""))</f>
        <v/>
      </c>
      <c r="CG9" s="23" t="n"/>
      <c r="CH9" s="24">
        <f>IF(CG9="","",IF(CG9="NE","",(IFERROR(IF(ISNUMBER(CG9),CG9,VALUE(CG9)),0)/2)*$F9*$F$5*20))</f>
        <v/>
      </c>
      <c r="CI9" s="25">
        <f>IF(CG9="","◄",IF(CG9="NE","~",""))</f>
        <v/>
      </c>
      <c r="CJ9" s="23" t="n"/>
      <c r="CK9" s="24">
        <f>IF(CJ9="","",IF(CJ9="NE","",(IFERROR(IF(ISNUMBER(CJ9),CJ9,VALUE(CJ9)),0)/2)*$F9*$F$5*20))</f>
        <v/>
      </c>
      <c r="CL9" s="25">
        <f>IF(CJ9="","◄",IF(CJ9="NE","~",""))</f>
        <v/>
      </c>
      <c r="CM9" s="23" t="n"/>
      <c r="CN9" s="24">
        <f>IF(CM9="","",IF(CM9="NE","",(IFERROR(IF(ISNUMBER(CM9),CM9,VALUE(CM9)),0)/2)*$F9*$F$5*20))</f>
        <v/>
      </c>
      <c r="CO9" s="25">
        <f>IF(CM9="","◄",IF(CM9="NE","~",""))</f>
        <v/>
      </c>
      <c r="CP9" s="23" t="n"/>
      <c r="CQ9" s="24">
        <f>IF(CP9="","",IF(CP9="NE","",(IFERROR(IF(ISNUMBER(CP9),CP9,VALUE(CP9)),0)/2)*$F9*$F$5*20))</f>
        <v/>
      </c>
      <c r="CR9" s="25">
        <f>IF(CP9="","◄",IF(CP9="NE","~",""))</f>
        <v/>
      </c>
    </row>
    <row r="10" ht="36" customHeight="1">
      <c r="A10" s="20" t="n">
        <v>5</v>
      </c>
      <c r="B10" s="20" t="inlineStr">
        <is>
          <t>P1</t>
        </is>
      </c>
      <c r="C10" s="20" t="inlineStr">
        <is>
          <t>Q1.3</t>
        </is>
      </c>
      <c r="D10" s="20" t="inlineStr">
        <is>
          <t>Critère</t>
        </is>
      </c>
      <c r="E10" s="21" t="inlineStr">
        <is>
          <t>Conso énergie Boue Activée = 3,2 kWh/kgDBO5 × 17 100 = 54 720 kWh.</t>
        </is>
      </c>
      <c r="F10" s="22" t="n">
        <v>0.15</v>
      </c>
      <c r="G10" s="23" t="n"/>
      <c r="H10" s="24">
        <f>IF(G10="","",IF(G10="NE","",(IFERROR(IF(ISNUMBER(G10),G10,VALUE(G10)),0)/2)*$F10*$F$5*20))</f>
        <v/>
      </c>
      <c r="I10" s="25">
        <f>IF(G10="","◄",IF(G10="NE","~",""))</f>
        <v/>
      </c>
      <c r="J10" s="23" t="n"/>
      <c r="K10" s="24">
        <f>IF(J10="","",IF(J10="NE","",(IFERROR(IF(ISNUMBER(J10),J10,VALUE(J10)),0)/2)*$F10*$F$5*20))</f>
        <v/>
      </c>
      <c r="L10" s="25">
        <f>IF(J10="","◄",IF(J10="NE","~",""))</f>
        <v/>
      </c>
      <c r="M10" s="23" t="n"/>
      <c r="N10" s="24">
        <f>IF(M10="","",IF(M10="NE","",(IFERROR(IF(ISNUMBER(M10),M10,VALUE(M10)),0)/2)*$F10*$F$5*20))</f>
        <v/>
      </c>
      <c r="O10" s="25">
        <f>IF(M10="","◄",IF(M10="NE","~",""))</f>
        <v/>
      </c>
      <c r="P10" s="23" t="n"/>
      <c r="Q10" s="24">
        <f>IF(P10="","",IF(P10="NE","",(IFERROR(IF(ISNUMBER(P10),P10,VALUE(P10)),0)/2)*$F10*$F$5*20))</f>
        <v/>
      </c>
      <c r="R10" s="25">
        <f>IF(P10="","◄",IF(P10="NE","~",""))</f>
        <v/>
      </c>
      <c r="S10" s="23" t="n"/>
      <c r="T10" s="24">
        <f>IF(S10="","",IF(S10="NE","",(IFERROR(IF(ISNUMBER(S10),S10,VALUE(S10)),0)/2)*$F10*$F$5*20))</f>
        <v/>
      </c>
      <c r="U10" s="25">
        <f>IF(S10="","◄",IF(S10="NE","~",""))</f>
        <v/>
      </c>
      <c r="V10" s="23" t="n"/>
      <c r="W10" s="24">
        <f>IF(V10="","",IF(V10="NE","",(IFERROR(IF(ISNUMBER(V10),V10,VALUE(V10)),0)/2)*$F10*$F$5*20))</f>
        <v/>
      </c>
      <c r="X10" s="25">
        <f>IF(V10="","◄",IF(V10="NE","~",""))</f>
        <v/>
      </c>
      <c r="Y10" s="23" t="n"/>
      <c r="Z10" s="24">
        <f>IF(Y10="","",IF(Y10="NE","",(IFERROR(IF(ISNUMBER(Y10),Y10,VALUE(Y10)),0)/2)*$F10*$F$5*20))</f>
        <v/>
      </c>
      <c r="AA10" s="25">
        <f>IF(Y10="","◄",IF(Y10="NE","~",""))</f>
        <v/>
      </c>
      <c r="AB10" s="23" t="n"/>
      <c r="AC10" s="24">
        <f>IF(AB10="","",IF(AB10="NE","",(IFERROR(IF(ISNUMBER(AB10),AB10,VALUE(AB10)),0)/2)*$F10*$F$5*20))</f>
        <v/>
      </c>
      <c r="AD10" s="25">
        <f>IF(AB10="","◄",IF(AB10="NE","~",""))</f>
        <v/>
      </c>
      <c r="AE10" s="23" t="n"/>
      <c r="AF10" s="24">
        <f>IF(AE10="","",IF(AE10="NE","",(IFERROR(IF(ISNUMBER(AE10),AE10,VALUE(AE10)),0)/2)*$F10*$F$5*20))</f>
        <v/>
      </c>
      <c r="AG10" s="25">
        <f>IF(AE10="","◄",IF(AE10="NE","~",""))</f>
        <v/>
      </c>
      <c r="AH10" s="23" t="n"/>
      <c r="AI10" s="24">
        <f>IF(AH10="","",IF(AH10="NE","",(IFERROR(IF(ISNUMBER(AH10),AH10,VALUE(AH10)),0)/2)*$F10*$F$5*20))</f>
        <v/>
      </c>
      <c r="AJ10" s="25">
        <f>IF(AH10="","◄",IF(AH10="NE","~",""))</f>
        <v/>
      </c>
      <c r="AK10" s="23" t="n"/>
      <c r="AL10" s="24">
        <f>IF(AK10="","",IF(AK10="NE","",(IFERROR(IF(ISNUMBER(AK10),AK10,VALUE(AK10)),0)/2)*$F10*$F$5*20))</f>
        <v/>
      </c>
      <c r="AM10" s="25">
        <f>IF(AK10="","◄",IF(AK10="NE","~",""))</f>
        <v/>
      </c>
      <c r="AN10" s="23" t="n"/>
      <c r="AO10" s="24">
        <f>IF(AN10="","",IF(AN10="NE","",(IFERROR(IF(ISNUMBER(AN10),AN10,VALUE(AN10)),0)/2)*$F10*$F$5*20))</f>
        <v/>
      </c>
      <c r="AP10" s="25">
        <f>IF(AN10="","◄",IF(AN10="NE","~",""))</f>
        <v/>
      </c>
      <c r="AQ10" s="23" t="n"/>
      <c r="AR10" s="24">
        <f>IF(AQ10="","",IF(AQ10="NE","",(IFERROR(IF(ISNUMBER(AQ10),AQ10,VALUE(AQ10)),0)/2)*$F10*$F$5*20))</f>
        <v/>
      </c>
      <c r="AS10" s="25">
        <f>IF(AQ10="","◄",IF(AQ10="NE","~",""))</f>
        <v/>
      </c>
      <c r="AT10" s="23" t="n"/>
      <c r="AU10" s="24">
        <f>IF(AT10="","",IF(AT10="NE","",(IFERROR(IF(ISNUMBER(AT10),AT10,VALUE(AT10)),0)/2)*$F10*$F$5*20))</f>
        <v/>
      </c>
      <c r="AV10" s="25">
        <f>IF(AT10="","◄",IF(AT10="NE","~",""))</f>
        <v/>
      </c>
      <c r="AW10" s="23" t="n"/>
      <c r="AX10" s="24">
        <f>IF(AW10="","",IF(AW10="NE","",(IFERROR(IF(ISNUMBER(AW10),AW10,VALUE(AW10)),0)/2)*$F10*$F$5*20))</f>
        <v/>
      </c>
      <c r="AY10" s="25">
        <f>IF(AW10="","◄",IF(AW10="NE","~",""))</f>
        <v/>
      </c>
      <c r="AZ10" s="23" t="n"/>
      <c r="BA10" s="24">
        <f>IF(AZ10="","",IF(AZ10="NE","",(IFERROR(IF(ISNUMBER(AZ10),AZ10,VALUE(AZ10)),0)/2)*$F10*$F$5*20))</f>
        <v/>
      </c>
      <c r="BB10" s="25">
        <f>IF(AZ10="","◄",IF(AZ10="NE","~",""))</f>
        <v/>
      </c>
      <c r="BC10" s="23" t="n"/>
      <c r="BD10" s="24">
        <f>IF(BC10="","",IF(BC10="NE","",(IFERROR(IF(ISNUMBER(BC10),BC10,VALUE(BC10)),0)/2)*$F10*$F$5*20))</f>
        <v/>
      </c>
      <c r="BE10" s="25">
        <f>IF(BC10="","◄",IF(BC10="NE","~",""))</f>
        <v/>
      </c>
      <c r="BF10" s="23" t="n"/>
      <c r="BG10" s="24">
        <f>IF(BF10="","",IF(BF10="NE","",(IFERROR(IF(ISNUMBER(BF10),BF10,VALUE(BF10)),0)/2)*$F10*$F$5*20))</f>
        <v/>
      </c>
      <c r="BH10" s="25">
        <f>IF(BF10="","◄",IF(BF10="NE","~",""))</f>
        <v/>
      </c>
      <c r="BI10" s="23" t="n"/>
      <c r="BJ10" s="24">
        <f>IF(BI10="","",IF(BI10="NE","",(IFERROR(IF(ISNUMBER(BI10),BI10,VALUE(BI10)),0)/2)*$F10*$F$5*20))</f>
        <v/>
      </c>
      <c r="BK10" s="25">
        <f>IF(BI10="","◄",IF(BI10="NE","~",""))</f>
        <v/>
      </c>
      <c r="BL10" s="23" t="n"/>
      <c r="BM10" s="24">
        <f>IF(BL10="","",IF(BL10="NE","",(IFERROR(IF(ISNUMBER(BL10),BL10,VALUE(BL10)),0)/2)*$F10*$F$5*20))</f>
        <v/>
      </c>
      <c r="BN10" s="25">
        <f>IF(BL10="","◄",IF(BL10="NE","~",""))</f>
        <v/>
      </c>
      <c r="BO10" s="23" t="n"/>
      <c r="BP10" s="24">
        <f>IF(BO10="","",IF(BO10="NE","",(IFERROR(IF(ISNUMBER(BO10),BO10,VALUE(BO10)),0)/2)*$F10*$F$5*20))</f>
        <v/>
      </c>
      <c r="BQ10" s="25">
        <f>IF(BO10="","◄",IF(BO10="NE","~",""))</f>
        <v/>
      </c>
      <c r="BR10" s="23" t="n"/>
      <c r="BS10" s="24">
        <f>IF(BR10="","",IF(BR10="NE","",(IFERROR(IF(ISNUMBER(BR10),BR10,VALUE(BR10)),0)/2)*$F10*$F$5*20))</f>
        <v/>
      </c>
      <c r="BT10" s="25">
        <f>IF(BR10="","◄",IF(BR10="NE","~",""))</f>
        <v/>
      </c>
      <c r="BU10" s="23" t="n"/>
      <c r="BV10" s="24">
        <f>IF(BU10="","",IF(BU10="NE","",(IFERROR(IF(ISNUMBER(BU10),BU10,VALUE(BU10)),0)/2)*$F10*$F$5*20))</f>
        <v/>
      </c>
      <c r="BW10" s="25">
        <f>IF(BU10="","◄",IF(BU10="NE","~",""))</f>
        <v/>
      </c>
      <c r="BX10" s="23" t="n"/>
      <c r="BY10" s="24">
        <f>IF(BX10="","",IF(BX10="NE","",(IFERROR(IF(ISNUMBER(BX10),BX10,VALUE(BX10)),0)/2)*$F10*$F$5*20))</f>
        <v/>
      </c>
      <c r="BZ10" s="25">
        <f>IF(BX10="","◄",IF(BX10="NE","~",""))</f>
        <v/>
      </c>
      <c r="CA10" s="23" t="n"/>
      <c r="CB10" s="24">
        <f>IF(CA10="","",IF(CA10="NE","",(IFERROR(IF(ISNUMBER(CA10),CA10,VALUE(CA10)),0)/2)*$F10*$F$5*20))</f>
        <v/>
      </c>
      <c r="CC10" s="25">
        <f>IF(CA10="","◄",IF(CA10="NE","~",""))</f>
        <v/>
      </c>
      <c r="CD10" s="23" t="n"/>
      <c r="CE10" s="24">
        <f>IF(CD10="","",IF(CD10="NE","",(IFERROR(IF(ISNUMBER(CD10),CD10,VALUE(CD10)),0)/2)*$F10*$F$5*20))</f>
        <v/>
      </c>
      <c r="CF10" s="25">
        <f>IF(CD10="","◄",IF(CD10="NE","~",""))</f>
        <v/>
      </c>
      <c r="CG10" s="23" t="n"/>
      <c r="CH10" s="24">
        <f>IF(CG10="","",IF(CG10="NE","",(IFERROR(IF(ISNUMBER(CG10),CG10,VALUE(CG10)),0)/2)*$F10*$F$5*20))</f>
        <v/>
      </c>
      <c r="CI10" s="25">
        <f>IF(CG10="","◄",IF(CG10="NE","~",""))</f>
        <v/>
      </c>
      <c r="CJ10" s="23" t="n"/>
      <c r="CK10" s="24">
        <f>IF(CJ10="","",IF(CJ10="NE","",(IFERROR(IF(ISNUMBER(CJ10),CJ10,VALUE(CJ10)),0)/2)*$F10*$F$5*20))</f>
        <v/>
      </c>
      <c r="CL10" s="25">
        <f>IF(CJ10="","◄",IF(CJ10="NE","~",""))</f>
        <v/>
      </c>
      <c r="CM10" s="23" t="n"/>
      <c r="CN10" s="24">
        <f>IF(CM10="","",IF(CM10="NE","",(IFERROR(IF(ISNUMBER(CM10),CM10,VALUE(CM10)),0)/2)*$F10*$F$5*20))</f>
        <v/>
      </c>
      <c r="CO10" s="25">
        <f>IF(CM10="","◄",IF(CM10="NE","~",""))</f>
        <v/>
      </c>
      <c r="CP10" s="23" t="n"/>
      <c r="CQ10" s="24">
        <f>IF(CP10="","",IF(CP10="NE","",(IFERROR(IF(ISNUMBER(CP10),CP10,VALUE(CP10)),0)/2)*$F10*$F$5*20))</f>
        <v/>
      </c>
      <c r="CR10" s="25">
        <f>IF(CP10="","◄",IF(CP10="NE","~",""))</f>
        <v/>
      </c>
    </row>
    <row r="11" ht="36" customHeight="1">
      <c r="A11" s="20" t="n">
        <v>6</v>
      </c>
      <c r="B11" s="20" t="inlineStr">
        <is>
          <t>P1</t>
        </is>
      </c>
      <c r="C11" s="20" t="inlineStr">
        <is>
          <t>Q1.3</t>
        </is>
      </c>
      <c r="D11" s="20" t="inlineStr">
        <is>
          <t>Critère</t>
        </is>
      </c>
      <c r="E11" s="21" t="inlineStr">
        <is>
          <t>Coût biofiltre = 2 142 €/EqHab × 300 000 = 642,6 M€.</t>
        </is>
      </c>
      <c r="F11" s="22" t="n">
        <v>0.15</v>
      </c>
      <c r="G11" s="23" t="n"/>
      <c r="H11" s="24">
        <f>IF(G11="","",IF(G11="NE","",(IFERROR(IF(ISNUMBER(G11),G11,VALUE(G11)),0)/2)*$F11*$F$5*20))</f>
        <v/>
      </c>
      <c r="I11" s="25">
        <f>IF(G11="","◄",IF(G11="NE","~",""))</f>
        <v/>
      </c>
      <c r="J11" s="23" t="n"/>
      <c r="K11" s="24">
        <f>IF(J11="","",IF(J11="NE","",(IFERROR(IF(ISNUMBER(J11),J11,VALUE(J11)),0)/2)*$F11*$F$5*20))</f>
        <v/>
      </c>
      <c r="L11" s="25">
        <f>IF(J11="","◄",IF(J11="NE","~",""))</f>
        <v/>
      </c>
      <c r="M11" s="23" t="n"/>
      <c r="N11" s="24">
        <f>IF(M11="","",IF(M11="NE","",(IFERROR(IF(ISNUMBER(M11),M11,VALUE(M11)),0)/2)*$F11*$F$5*20))</f>
        <v/>
      </c>
      <c r="O11" s="25">
        <f>IF(M11="","◄",IF(M11="NE","~",""))</f>
        <v/>
      </c>
      <c r="P11" s="23" t="n"/>
      <c r="Q11" s="24">
        <f>IF(P11="","",IF(P11="NE","",(IFERROR(IF(ISNUMBER(P11),P11,VALUE(P11)),0)/2)*$F11*$F$5*20))</f>
        <v/>
      </c>
      <c r="R11" s="25">
        <f>IF(P11="","◄",IF(P11="NE","~",""))</f>
        <v/>
      </c>
      <c r="S11" s="23" t="n"/>
      <c r="T11" s="24">
        <f>IF(S11="","",IF(S11="NE","",(IFERROR(IF(ISNUMBER(S11),S11,VALUE(S11)),0)/2)*$F11*$F$5*20))</f>
        <v/>
      </c>
      <c r="U11" s="25">
        <f>IF(S11="","◄",IF(S11="NE","~",""))</f>
        <v/>
      </c>
      <c r="V11" s="23" t="n"/>
      <c r="W11" s="24">
        <f>IF(V11="","",IF(V11="NE","",(IFERROR(IF(ISNUMBER(V11),V11,VALUE(V11)),0)/2)*$F11*$F$5*20))</f>
        <v/>
      </c>
      <c r="X11" s="25">
        <f>IF(V11="","◄",IF(V11="NE","~",""))</f>
        <v/>
      </c>
      <c r="Y11" s="23" t="n"/>
      <c r="Z11" s="24">
        <f>IF(Y11="","",IF(Y11="NE","",(IFERROR(IF(ISNUMBER(Y11),Y11,VALUE(Y11)),0)/2)*$F11*$F$5*20))</f>
        <v/>
      </c>
      <c r="AA11" s="25">
        <f>IF(Y11="","◄",IF(Y11="NE","~",""))</f>
        <v/>
      </c>
      <c r="AB11" s="23" t="n"/>
      <c r="AC11" s="24">
        <f>IF(AB11="","",IF(AB11="NE","",(IFERROR(IF(ISNUMBER(AB11),AB11,VALUE(AB11)),0)/2)*$F11*$F$5*20))</f>
        <v/>
      </c>
      <c r="AD11" s="25">
        <f>IF(AB11="","◄",IF(AB11="NE","~",""))</f>
        <v/>
      </c>
      <c r="AE11" s="23" t="n"/>
      <c r="AF11" s="24">
        <f>IF(AE11="","",IF(AE11="NE","",(IFERROR(IF(ISNUMBER(AE11),AE11,VALUE(AE11)),0)/2)*$F11*$F$5*20))</f>
        <v/>
      </c>
      <c r="AG11" s="25">
        <f>IF(AE11="","◄",IF(AE11="NE","~",""))</f>
        <v/>
      </c>
      <c r="AH11" s="23" t="n"/>
      <c r="AI11" s="24">
        <f>IF(AH11="","",IF(AH11="NE","",(IFERROR(IF(ISNUMBER(AH11),AH11,VALUE(AH11)),0)/2)*$F11*$F$5*20))</f>
        <v/>
      </c>
      <c r="AJ11" s="25">
        <f>IF(AH11="","◄",IF(AH11="NE","~",""))</f>
        <v/>
      </c>
      <c r="AK11" s="23" t="n"/>
      <c r="AL11" s="24">
        <f>IF(AK11="","",IF(AK11="NE","",(IFERROR(IF(ISNUMBER(AK11),AK11,VALUE(AK11)),0)/2)*$F11*$F$5*20))</f>
        <v/>
      </c>
      <c r="AM11" s="25">
        <f>IF(AK11="","◄",IF(AK11="NE","~",""))</f>
        <v/>
      </c>
      <c r="AN11" s="23" t="n"/>
      <c r="AO11" s="24">
        <f>IF(AN11="","",IF(AN11="NE","",(IFERROR(IF(ISNUMBER(AN11),AN11,VALUE(AN11)),0)/2)*$F11*$F$5*20))</f>
        <v/>
      </c>
      <c r="AP11" s="25">
        <f>IF(AN11="","◄",IF(AN11="NE","~",""))</f>
        <v/>
      </c>
      <c r="AQ11" s="23" t="n"/>
      <c r="AR11" s="24">
        <f>IF(AQ11="","",IF(AQ11="NE","",(IFERROR(IF(ISNUMBER(AQ11),AQ11,VALUE(AQ11)),0)/2)*$F11*$F$5*20))</f>
        <v/>
      </c>
      <c r="AS11" s="25">
        <f>IF(AQ11="","◄",IF(AQ11="NE","~",""))</f>
        <v/>
      </c>
      <c r="AT11" s="23" t="n"/>
      <c r="AU11" s="24">
        <f>IF(AT11="","",IF(AT11="NE","",(IFERROR(IF(ISNUMBER(AT11),AT11,VALUE(AT11)),0)/2)*$F11*$F$5*20))</f>
        <v/>
      </c>
      <c r="AV11" s="25">
        <f>IF(AT11="","◄",IF(AT11="NE","~",""))</f>
        <v/>
      </c>
      <c r="AW11" s="23" t="n"/>
      <c r="AX11" s="24">
        <f>IF(AW11="","",IF(AW11="NE","",(IFERROR(IF(ISNUMBER(AW11),AW11,VALUE(AW11)),0)/2)*$F11*$F$5*20))</f>
        <v/>
      </c>
      <c r="AY11" s="25">
        <f>IF(AW11="","◄",IF(AW11="NE","~",""))</f>
        <v/>
      </c>
      <c r="AZ11" s="23" t="n"/>
      <c r="BA11" s="24">
        <f>IF(AZ11="","",IF(AZ11="NE","",(IFERROR(IF(ISNUMBER(AZ11),AZ11,VALUE(AZ11)),0)/2)*$F11*$F$5*20))</f>
        <v/>
      </c>
      <c r="BB11" s="25">
        <f>IF(AZ11="","◄",IF(AZ11="NE","~",""))</f>
        <v/>
      </c>
      <c r="BC11" s="23" t="n"/>
      <c r="BD11" s="24">
        <f>IF(BC11="","",IF(BC11="NE","",(IFERROR(IF(ISNUMBER(BC11),BC11,VALUE(BC11)),0)/2)*$F11*$F$5*20))</f>
        <v/>
      </c>
      <c r="BE11" s="25">
        <f>IF(BC11="","◄",IF(BC11="NE","~",""))</f>
        <v/>
      </c>
      <c r="BF11" s="23" t="n"/>
      <c r="BG11" s="24">
        <f>IF(BF11="","",IF(BF11="NE","",(IFERROR(IF(ISNUMBER(BF11),BF11,VALUE(BF11)),0)/2)*$F11*$F$5*20))</f>
        <v/>
      </c>
      <c r="BH11" s="25">
        <f>IF(BF11="","◄",IF(BF11="NE","~",""))</f>
        <v/>
      </c>
      <c r="BI11" s="23" t="n"/>
      <c r="BJ11" s="24">
        <f>IF(BI11="","",IF(BI11="NE","",(IFERROR(IF(ISNUMBER(BI11),BI11,VALUE(BI11)),0)/2)*$F11*$F$5*20))</f>
        <v/>
      </c>
      <c r="BK11" s="25">
        <f>IF(BI11="","◄",IF(BI11="NE","~",""))</f>
        <v/>
      </c>
      <c r="BL11" s="23" t="n"/>
      <c r="BM11" s="24">
        <f>IF(BL11="","",IF(BL11="NE","",(IFERROR(IF(ISNUMBER(BL11),BL11,VALUE(BL11)),0)/2)*$F11*$F$5*20))</f>
        <v/>
      </c>
      <c r="BN11" s="25">
        <f>IF(BL11="","◄",IF(BL11="NE","~",""))</f>
        <v/>
      </c>
      <c r="BO11" s="23" t="n"/>
      <c r="BP11" s="24">
        <f>IF(BO11="","",IF(BO11="NE","",(IFERROR(IF(ISNUMBER(BO11),BO11,VALUE(BO11)),0)/2)*$F11*$F$5*20))</f>
        <v/>
      </c>
      <c r="BQ11" s="25">
        <f>IF(BO11="","◄",IF(BO11="NE","~",""))</f>
        <v/>
      </c>
      <c r="BR11" s="23" t="n"/>
      <c r="BS11" s="24">
        <f>IF(BR11="","",IF(BR11="NE","",(IFERROR(IF(ISNUMBER(BR11),BR11,VALUE(BR11)),0)/2)*$F11*$F$5*20))</f>
        <v/>
      </c>
      <c r="BT11" s="25">
        <f>IF(BR11="","◄",IF(BR11="NE","~",""))</f>
        <v/>
      </c>
      <c r="BU11" s="23" t="n"/>
      <c r="BV11" s="24">
        <f>IF(BU11="","",IF(BU11="NE","",(IFERROR(IF(ISNUMBER(BU11),BU11,VALUE(BU11)),0)/2)*$F11*$F$5*20))</f>
        <v/>
      </c>
      <c r="BW11" s="25">
        <f>IF(BU11="","◄",IF(BU11="NE","~",""))</f>
        <v/>
      </c>
      <c r="BX11" s="23" t="n"/>
      <c r="BY11" s="24">
        <f>IF(BX11="","",IF(BX11="NE","",(IFERROR(IF(ISNUMBER(BX11),BX11,VALUE(BX11)),0)/2)*$F11*$F$5*20))</f>
        <v/>
      </c>
      <c r="BZ11" s="25">
        <f>IF(BX11="","◄",IF(BX11="NE","~",""))</f>
        <v/>
      </c>
      <c r="CA11" s="23" t="n"/>
      <c r="CB11" s="24">
        <f>IF(CA11="","",IF(CA11="NE","",(IFERROR(IF(ISNUMBER(CA11),CA11,VALUE(CA11)),0)/2)*$F11*$F$5*20))</f>
        <v/>
      </c>
      <c r="CC11" s="25">
        <f>IF(CA11="","◄",IF(CA11="NE","~",""))</f>
        <v/>
      </c>
      <c r="CD11" s="23" t="n"/>
      <c r="CE11" s="24">
        <f>IF(CD11="","",IF(CD11="NE","",(IFERROR(IF(ISNUMBER(CD11),CD11,VALUE(CD11)),0)/2)*$F11*$F$5*20))</f>
        <v/>
      </c>
      <c r="CF11" s="25">
        <f>IF(CD11="","◄",IF(CD11="NE","~",""))</f>
        <v/>
      </c>
      <c r="CG11" s="23" t="n"/>
      <c r="CH11" s="24">
        <f>IF(CG11="","",IF(CG11="NE","",(IFERROR(IF(ISNUMBER(CG11),CG11,VALUE(CG11)),0)/2)*$F11*$F$5*20))</f>
        <v/>
      </c>
      <c r="CI11" s="25">
        <f>IF(CG11="","◄",IF(CG11="NE","~",""))</f>
        <v/>
      </c>
      <c r="CJ11" s="23" t="n"/>
      <c r="CK11" s="24">
        <f>IF(CJ11="","",IF(CJ11="NE","",(IFERROR(IF(ISNUMBER(CJ11),CJ11,VALUE(CJ11)),0)/2)*$F11*$F$5*20))</f>
        <v/>
      </c>
      <c r="CL11" s="25">
        <f>IF(CJ11="","◄",IF(CJ11="NE","~",""))</f>
        <v/>
      </c>
      <c r="CM11" s="23" t="n"/>
      <c r="CN11" s="24">
        <f>IF(CM11="","",IF(CM11="NE","",(IFERROR(IF(ISNUMBER(CM11),CM11,VALUE(CM11)),0)/2)*$F11*$F$5*20))</f>
        <v/>
      </c>
      <c r="CO11" s="25">
        <f>IF(CM11="","◄",IF(CM11="NE","~",""))</f>
        <v/>
      </c>
      <c r="CP11" s="23" t="n"/>
      <c r="CQ11" s="24">
        <f>IF(CP11="","",IF(CP11="NE","",(IFERROR(IF(ISNUMBER(CP11),CP11,VALUE(CP11)),0)/2)*$F11*$F$5*20))</f>
        <v/>
      </c>
      <c r="CR11" s="25">
        <f>IF(CP11="","◄",IF(CP11="NE","~",""))</f>
        <v/>
      </c>
    </row>
    <row r="12" ht="36" customHeight="1">
      <c r="A12" s="20" t="n">
        <v>7</v>
      </c>
      <c r="B12" s="20" t="inlineStr">
        <is>
          <t>P1</t>
        </is>
      </c>
      <c r="C12" s="20" t="inlineStr">
        <is>
          <t>Q1.4</t>
        </is>
      </c>
      <c r="D12" s="20" t="inlineStr">
        <is>
          <t>Critère</t>
        </is>
      </c>
      <c r="E12" s="21" t="inlineStr">
        <is>
          <t>Boue Activée justifiée : lit roseaux trop grand, biofiltre trop énergivore et trop cher.</t>
        </is>
      </c>
      <c r="F12" s="22" t="n">
        <v>0.1</v>
      </c>
      <c r="G12" s="23" t="n"/>
      <c r="H12" s="24">
        <f>IF(G12="","",IF(G12="NE","",(IFERROR(IF(ISNUMBER(G12),G12,VALUE(G12)),0)/2)*$F12*$F$5*20))</f>
        <v/>
      </c>
      <c r="I12" s="25">
        <f>IF(G12="","◄",IF(G12="NE","~",""))</f>
        <v/>
      </c>
      <c r="J12" s="23" t="n"/>
      <c r="K12" s="24">
        <f>IF(J12="","",IF(J12="NE","",(IFERROR(IF(ISNUMBER(J12),J12,VALUE(J12)),0)/2)*$F12*$F$5*20))</f>
        <v/>
      </c>
      <c r="L12" s="25">
        <f>IF(J12="","◄",IF(J12="NE","~",""))</f>
        <v/>
      </c>
      <c r="M12" s="23" t="n"/>
      <c r="N12" s="24">
        <f>IF(M12="","",IF(M12="NE","",(IFERROR(IF(ISNUMBER(M12),M12,VALUE(M12)),0)/2)*$F12*$F$5*20))</f>
        <v/>
      </c>
      <c r="O12" s="25">
        <f>IF(M12="","◄",IF(M12="NE","~",""))</f>
        <v/>
      </c>
      <c r="P12" s="23" t="n"/>
      <c r="Q12" s="24">
        <f>IF(P12="","",IF(P12="NE","",(IFERROR(IF(ISNUMBER(P12),P12,VALUE(P12)),0)/2)*$F12*$F$5*20))</f>
        <v/>
      </c>
      <c r="R12" s="25">
        <f>IF(P12="","◄",IF(P12="NE","~",""))</f>
        <v/>
      </c>
      <c r="S12" s="23" t="n"/>
      <c r="T12" s="24">
        <f>IF(S12="","",IF(S12="NE","",(IFERROR(IF(ISNUMBER(S12),S12,VALUE(S12)),0)/2)*$F12*$F$5*20))</f>
        <v/>
      </c>
      <c r="U12" s="25">
        <f>IF(S12="","◄",IF(S12="NE","~",""))</f>
        <v/>
      </c>
      <c r="V12" s="23" t="n"/>
      <c r="W12" s="24">
        <f>IF(V12="","",IF(V12="NE","",(IFERROR(IF(ISNUMBER(V12),V12,VALUE(V12)),0)/2)*$F12*$F$5*20))</f>
        <v/>
      </c>
      <c r="X12" s="25">
        <f>IF(V12="","◄",IF(V12="NE","~",""))</f>
        <v/>
      </c>
      <c r="Y12" s="23" t="n"/>
      <c r="Z12" s="24">
        <f>IF(Y12="","",IF(Y12="NE","",(IFERROR(IF(ISNUMBER(Y12),Y12,VALUE(Y12)),0)/2)*$F12*$F$5*20))</f>
        <v/>
      </c>
      <c r="AA12" s="25">
        <f>IF(Y12="","◄",IF(Y12="NE","~",""))</f>
        <v/>
      </c>
      <c r="AB12" s="23" t="n"/>
      <c r="AC12" s="24">
        <f>IF(AB12="","",IF(AB12="NE","",(IFERROR(IF(ISNUMBER(AB12),AB12,VALUE(AB12)),0)/2)*$F12*$F$5*20))</f>
        <v/>
      </c>
      <c r="AD12" s="25">
        <f>IF(AB12="","◄",IF(AB12="NE","~",""))</f>
        <v/>
      </c>
      <c r="AE12" s="23" t="n"/>
      <c r="AF12" s="24">
        <f>IF(AE12="","",IF(AE12="NE","",(IFERROR(IF(ISNUMBER(AE12),AE12,VALUE(AE12)),0)/2)*$F12*$F$5*20))</f>
        <v/>
      </c>
      <c r="AG12" s="25">
        <f>IF(AE12="","◄",IF(AE12="NE","~",""))</f>
        <v/>
      </c>
      <c r="AH12" s="23" t="n"/>
      <c r="AI12" s="24">
        <f>IF(AH12="","",IF(AH12="NE","",(IFERROR(IF(ISNUMBER(AH12),AH12,VALUE(AH12)),0)/2)*$F12*$F$5*20))</f>
        <v/>
      </c>
      <c r="AJ12" s="25">
        <f>IF(AH12="","◄",IF(AH12="NE","~",""))</f>
        <v/>
      </c>
      <c r="AK12" s="23" t="n"/>
      <c r="AL12" s="24">
        <f>IF(AK12="","",IF(AK12="NE","",(IFERROR(IF(ISNUMBER(AK12),AK12,VALUE(AK12)),0)/2)*$F12*$F$5*20))</f>
        <v/>
      </c>
      <c r="AM12" s="25">
        <f>IF(AK12="","◄",IF(AK12="NE","~",""))</f>
        <v/>
      </c>
      <c r="AN12" s="23" t="n"/>
      <c r="AO12" s="24">
        <f>IF(AN12="","",IF(AN12="NE","",(IFERROR(IF(ISNUMBER(AN12),AN12,VALUE(AN12)),0)/2)*$F12*$F$5*20))</f>
        <v/>
      </c>
      <c r="AP12" s="25">
        <f>IF(AN12="","◄",IF(AN12="NE","~",""))</f>
        <v/>
      </c>
      <c r="AQ12" s="23" t="n"/>
      <c r="AR12" s="24">
        <f>IF(AQ12="","",IF(AQ12="NE","",(IFERROR(IF(ISNUMBER(AQ12),AQ12,VALUE(AQ12)),0)/2)*$F12*$F$5*20))</f>
        <v/>
      </c>
      <c r="AS12" s="25">
        <f>IF(AQ12="","◄",IF(AQ12="NE","~",""))</f>
        <v/>
      </c>
      <c r="AT12" s="23" t="n"/>
      <c r="AU12" s="24">
        <f>IF(AT12="","",IF(AT12="NE","",(IFERROR(IF(ISNUMBER(AT12),AT12,VALUE(AT12)),0)/2)*$F12*$F$5*20))</f>
        <v/>
      </c>
      <c r="AV12" s="25">
        <f>IF(AT12="","◄",IF(AT12="NE","~",""))</f>
        <v/>
      </c>
      <c r="AW12" s="23" t="n"/>
      <c r="AX12" s="24">
        <f>IF(AW12="","",IF(AW12="NE","",(IFERROR(IF(ISNUMBER(AW12),AW12,VALUE(AW12)),0)/2)*$F12*$F$5*20))</f>
        <v/>
      </c>
      <c r="AY12" s="25">
        <f>IF(AW12="","◄",IF(AW12="NE","~",""))</f>
        <v/>
      </c>
      <c r="AZ12" s="23" t="n"/>
      <c r="BA12" s="24">
        <f>IF(AZ12="","",IF(AZ12="NE","",(IFERROR(IF(ISNUMBER(AZ12),AZ12,VALUE(AZ12)),0)/2)*$F12*$F$5*20))</f>
        <v/>
      </c>
      <c r="BB12" s="25">
        <f>IF(AZ12="","◄",IF(AZ12="NE","~",""))</f>
        <v/>
      </c>
      <c r="BC12" s="23" t="n"/>
      <c r="BD12" s="24">
        <f>IF(BC12="","",IF(BC12="NE","",(IFERROR(IF(ISNUMBER(BC12),BC12,VALUE(BC12)),0)/2)*$F12*$F$5*20))</f>
        <v/>
      </c>
      <c r="BE12" s="25">
        <f>IF(BC12="","◄",IF(BC12="NE","~",""))</f>
        <v/>
      </c>
      <c r="BF12" s="23" t="n"/>
      <c r="BG12" s="24">
        <f>IF(BF12="","",IF(BF12="NE","",(IFERROR(IF(ISNUMBER(BF12),BF12,VALUE(BF12)),0)/2)*$F12*$F$5*20))</f>
        <v/>
      </c>
      <c r="BH12" s="25">
        <f>IF(BF12="","◄",IF(BF12="NE","~",""))</f>
        <v/>
      </c>
      <c r="BI12" s="23" t="n"/>
      <c r="BJ12" s="24">
        <f>IF(BI12="","",IF(BI12="NE","",(IFERROR(IF(ISNUMBER(BI12),BI12,VALUE(BI12)),0)/2)*$F12*$F$5*20))</f>
        <v/>
      </c>
      <c r="BK12" s="25">
        <f>IF(BI12="","◄",IF(BI12="NE","~",""))</f>
        <v/>
      </c>
      <c r="BL12" s="23" t="n"/>
      <c r="BM12" s="24">
        <f>IF(BL12="","",IF(BL12="NE","",(IFERROR(IF(ISNUMBER(BL12),BL12,VALUE(BL12)),0)/2)*$F12*$F$5*20))</f>
        <v/>
      </c>
      <c r="BN12" s="25">
        <f>IF(BL12="","◄",IF(BL12="NE","~",""))</f>
        <v/>
      </c>
      <c r="BO12" s="23" t="n"/>
      <c r="BP12" s="24">
        <f>IF(BO12="","",IF(BO12="NE","",(IFERROR(IF(ISNUMBER(BO12),BO12,VALUE(BO12)),0)/2)*$F12*$F$5*20))</f>
        <v/>
      </c>
      <c r="BQ12" s="25">
        <f>IF(BO12="","◄",IF(BO12="NE","~",""))</f>
        <v/>
      </c>
      <c r="BR12" s="23" t="n"/>
      <c r="BS12" s="24">
        <f>IF(BR12="","",IF(BR12="NE","",(IFERROR(IF(ISNUMBER(BR12),BR12,VALUE(BR12)),0)/2)*$F12*$F$5*20))</f>
        <v/>
      </c>
      <c r="BT12" s="25">
        <f>IF(BR12="","◄",IF(BR12="NE","~",""))</f>
        <v/>
      </c>
      <c r="BU12" s="23" t="n"/>
      <c r="BV12" s="24">
        <f>IF(BU12="","",IF(BU12="NE","",(IFERROR(IF(ISNUMBER(BU12),BU12,VALUE(BU12)),0)/2)*$F12*$F$5*20))</f>
        <v/>
      </c>
      <c r="BW12" s="25">
        <f>IF(BU12="","◄",IF(BU12="NE","~",""))</f>
        <v/>
      </c>
      <c r="BX12" s="23" t="n"/>
      <c r="BY12" s="24">
        <f>IF(BX12="","",IF(BX12="NE","",(IFERROR(IF(ISNUMBER(BX12),BX12,VALUE(BX12)),0)/2)*$F12*$F$5*20))</f>
        <v/>
      </c>
      <c r="BZ12" s="25">
        <f>IF(BX12="","◄",IF(BX12="NE","~",""))</f>
        <v/>
      </c>
      <c r="CA12" s="23" t="n"/>
      <c r="CB12" s="24">
        <f>IF(CA12="","",IF(CA12="NE","",(IFERROR(IF(ISNUMBER(CA12),CA12,VALUE(CA12)),0)/2)*$F12*$F$5*20))</f>
        <v/>
      </c>
      <c r="CC12" s="25">
        <f>IF(CA12="","◄",IF(CA12="NE","~",""))</f>
        <v/>
      </c>
      <c r="CD12" s="23" t="n"/>
      <c r="CE12" s="24">
        <f>IF(CD12="","",IF(CD12="NE","",(IFERROR(IF(ISNUMBER(CD12),CD12,VALUE(CD12)),0)/2)*$F12*$F$5*20))</f>
        <v/>
      </c>
      <c r="CF12" s="25">
        <f>IF(CD12="","◄",IF(CD12="NE","~",""))</f>
        <v/>
      </c>
      <c r="CG12" s="23" t="n"/>
      <c r="CH12" s="24">
        <f>IF(CG12="","",IF(CG12="NE","",(IFERROR(IF(ISNUMBER(CG12),CG12,VALUE(CG12)),0)/2)*$F12*$F$5*20))</f>
        <v/>
      </c>
      <c r="CI12" s="25">
        <f>IF(CG12="","◄",IF(CG12="NE","~",""))</f>
        <v/>
      </c>
      <c r="CJ12" s="23" t="n"/>
      <c r="CK12" s="24">
        <f>IF(CJ12="","",IF(CJ12="NE","",(IFERROR(IF(ISNUMBER(CJ12),CJ12,VALUE(CJ12)),0)/2)*$F12*$F$5*20))</f>
        <v/>
      </c>
      <c r="CL12" s="25">
        <f>IF(CJ12="","◄",IF(CJ12="NE","~",""))</f>
        <v/>
      </c>
      <c r="CM12" s="23" t="n"/>
      <c r="CN12" s="24">
        <f>IF(CM12="","",IF(CM12="NE","",(IFERROR(IF(ISNUMBER(CM12),CM12,VALUE(CM12)),0)/2)*$F12*$F$5*20))</f>
        <v/>
      </c>
      <c r="CO12" s="25">
        <f>IF(CM12="","◄",IF(CM12="NE","~",""))</f>
        <v/>
      </c>
      <c r="CP12" s="23" t="n"/>
      <c r="CQ12" s="24">
        <f>IF(CP12="","",IF(CP12="NE","",(IFERROR(IF(ISNUMBER(CP12),CP12,VALUE(CP12)),0)/2)*$F12*$F$5*20))</f>
        <v/>
      </c>
      <c r="CR12" s="25">
        <f>IF(CP12="","◄",IF(CP12="NE","~",""))</f>
        <v/>
      </c>
    </row>
    <row r="13" ht="22" customHeight="1">
      <c r="A13" s="14" t="inlineStr"/>
      <c r="B13" s="15" t="inlineStr">
        <is>
          <t>P2</t>
        </is>
      </c>
      <c r="C13" s="14" t="inlineStr"/>
      <c r="D13" s="16" t="inlineStr">
        <is>
          <t>Partie</t>
        </is>
      </c>
      <c r="E13" s="17" t="inlineStr">
        <is>
          <t>Comment la digestion des boues améliore-t-elle les performances d'une STEU dans une démarche DD ?</t>
        </is>
      </c>
      <c r="F13" s="18" t="n">
        <v>0.25</v>
      </c>
      <c r="G13" s="14" t="n"/>
      <c r="H13" s="19">
        <f>IFERROR(SUM(H14:H21)/(SUMPRODUCT(($F$14:$F$21)*(G14:G21&lt;&gt;"")*(G14:G21&lt;&gt;"NE"))*$F$13),"")</f>
        <v/>
      </c>
      <c r="I13" s="14" t="n"/>
      <c r="J13" s="14" t="n"/>
      <c r="K13" s="19">
        <f>IFERROR(SUM(K14:K21)/(SUMPRODUCT(($F$14:$F$21)*(J14:J21&lt;&gt;"")*(J14:J21&lt;&gt;"NE"))*$F$13),"")</f>
        <v/>
      </c>
      <c r="L13" s="14" t="n"/>
      <c r="M13" s="14" t="n"/>
      <c r="N13" s="19">
        <f>IFERROR(SUM(N14:N21)/(SUMPRODUCT(($F$14:$F$21)*(M14:M21&lt;&gt;"")*(M14:M21&lt;&gt;"NE"))*$F$13),"")</f>
        <v/>
      </c>
      <c r="O13" s="14" t="n"/>
      <c r="P13" s="14" t="n"/>
      <c r="Q13" s="19">
        <f>IFERROR(SUM(Q14:Q21)/(SUMPRODUCT(($F$14:$F$21)*(P14:P21&lt;&gt;"")*(P14:P21&lt;&gt;"NE"))*$F$13),"")</f>
        <v/>
      </c>
      <c r="R13" s="14" t="n"/>
      <c r="S13" s="14" t="n"/>
      <c r="T13" s="19">
        <f>IFERROR(SUM(T14:T21)/(SUMPRODUCT(($F$14:$F$21)*(S14:S21&lt;&gt;"")*(S14:S21&lt;&gt;"NE"))*$F$13),"")</f>
        <v/>
      </c>
      <c r="U13" s="14" t="n"/>
      <c r="V13" s="14" t="n"/>
      <c r="W13" s="19">
        <f>IFERROR(SUM(W14:W21)/(SUMPRODUCT(($F$14:$F$21)*(V14:V21&lt;&gt;"")*(V14:V21&lt;&gt;"NE"))*$F$13),"")</f>
        <v/>
      </c>
      <c r="X13" s="14" t="n"/>
      <c r="Y13" s="14" t="n"/>
      <c r="Z13" s="19">
        <f>IFERROR(SUM(Z14:Z21)/(SUMPRODUCT(($F$14:$F$21)*(Y14:Y21&lt;&gt;"")*(Y14:Y21&lt;&gt;"NE"))*$F$13),"")</f>
        <v/>
      </c>
      <c r="AA13" s="14" t="n"/>
      <c r="AB13" s="14" t="n"/>
      <c r="AC13" s="19">
        <f>IFERROR(SUM(AC14:AC21)/(SUMPRODUCT(($F$14:$F$21)*(AB14:AB21&lt;&gt;"")*(AB14:AB21&lt;&gt;"NE"))*$F$13),"")</f>
        <v/>
      </c>
      <c r="AD13" s="14" t="n"/>
      <c r="AE13" s="14" t="n"/>
      <c r="AF13" s="19">
        <f>IFERROR(SUM(AF14:AF21)/(SUMPRODUCT(($F$14:$F$21)*(AE14:AE21&lt;&gt;"")*(AE14:AE21&lt;&gt;"NE"))*$F$13),"")</f>
        <v/>
      </c>
      <c r="AG13" s="14" t="n"/>
      <c r="AH13" s="14" t="n"/>
      <c r="AI13" s="19">
        <f>IFERROR(SUM(AI14:AI21)/(SUMPRODUCT(($F$14:$F$21)*(AH14:AH21&lt;&gt;"")*(AH14:AH21&lt;&gt;"NE"))*$F$13),"")</f>
        <v/>
      </c>
      <c r="AJ13" s="14" t="n"/>
      <c r="AK13" s="14" t="n"/>
      <c r="AL13" s="19">
        <f>IFERROR(SUM(AL14:AL21)/(SUMPRODUCT(($F$14:$F$21)*(AK14:AK21&lt;&gt;"")*(AK14:AK21&lt;&gt;"NE"))*$F$13),"")</f>
        <v/>
      </c>
      <c r="AM13" s="14" t="n"/>
      <c r="AN13" s="14" t="n"/>
      <c r="AO13" s="19">
        <f>IFERROR(SUM(AO14:AO21)/(SUMPRODUCT(($F$14:$F$21)*(AN14:AN21&lt;&gt;"")*(AN14:AN21&lt;&gt;"NE"))*$F$13),"")</f>
        <v/>
      </c>
      <c r="AP13" s="14" t="n"/>
      <c r="AQ13" s="14" t="n"/>
      <c r="AR13" s="19">
        <f>IFERROR(SUM(AR14:AR21)/(SUMPRODUCT(($F$14:$F$21)*(AQ14:AQ21&lt;&gt;"")*(AQ14:AQ21&lt;&gt;"NE"))*$F$13),"")</f>
        <v/>
      </c>
      <c r="AS13" s="14" t="n"/>
      <c r="AT13" s="14" t="n"/>
      <c r="AU13" s="19">
        <f>IFERROR(SUM(AU14:AU21)/(SUMPRODUCT(($F$14:$F$21)*(AT14:AT21&lt;&gt;"")*(AT14:AT21&lt;&gt;"NE"))*$F$13),"")</f>
        <v/>
      </c>
      <c r="AV13" s="14" t="n"/>
      <c r="AW13" s="14" t="n"/>
      <c r="AX13" s="19">
        <f>IFERROR(SUM(AX14:AX21)/(SUMPRODUCT(($F$14:$F$21)*(AW14:AW21&lt;&gt;"")*(AW14:AW21&lt;&gt;"NE"))*$F$13),"")</f>
        <v/>
      </c>
      <c r="AY13" s="14" t="n"/>
      <c r="AZ13" s="14" t="n"/>
      <c r="BA13" s="19">
        <f>IFERROR(SUM(BA14:BA21)/(SUMPRODUCT(($F$14:$F$21)*(AZ14:AZ21&lt;&gt;"")*(AZ14:AZ21&lt;&gt;"NE"))*$F$13),"")</f>
        <v/>
      </c>
      <c r="BB13" s="14" t="n"/>
      <c r="BC13" s="14" t="n"/>
      <c r="BD13" s="19">
        <f>IFERROR(SUM(BD14:BD21)/(SUMPRODUCT(($F$14:$F$21)*(BC14:BC21&lt;&gt;"")*(BC14:BC21&lt;&gt;"NE"))*$F$13),"")</f>
        <v/>
      </c>
      <c r="BE13" s="14" t="n"/>
      <c r="BF13" s="14" t="n"/>
      <c r="BG13" s="19">
        <f>IFERROR(SUM(BG14:BG21)/(SUMPRODUCT(($F$14:$F$21)*(BF14:BF21&lt;&gt;"")*(BF14:BF21&lt;&gt;"NE"))*$F$13),"")</f>
        <v/>
      </c>
      <c r="BH13" s="14" t="n"/>
      <c r="BI13" s="14" t="n"/>
      <c r="BJ13" s="19">
        <f>IFERROR(SUM(BJ14:BJ21)/(SUMPRODUCT(($F$14:$F$21)*(BI14:BI21&lt;&gt;"")*(BI14:BI21&lt;&gt;"NE"))*$F$13),"")</f>
        <v/>
      </c>
      <c r="BK13" s="14" t="n"/>
      <c r="BL13" s="14" t="n"/>
      <c r="BM13" s="19">
        <f>IFERROR(SUM(BM14:BM21)/(SUMPRODUCT(($F$14:$F$21)*(BL14:BL21&lt;&gt;"")*(BL14:BL21&lt;&gt;"NE"))*$F$13),"")</f>
        <v/>
      </c>
      <c r="BN13" s="14" t="n"/>
      <c r="BO13" s="14" t="n"/>
      <c r="BP13" s="19">
        <f>IFERROR(SUM(BP14:BP21)/(SUMPRODUCT(($F$14:$F$21)*(BO14:BO21&lt;&gt;"")*(BO14:BO21&lt;&gt;"NE"))*$F$13),"")</f>
        <v/>
      </c>
      <c r="BQ13" s="14" t="n"/>
      <c r="BR13" s="14" t="n"/>
      <c r="BS13" s="19">
        <f>IFERROR(SUM(BS14:BS21)/(SUMPRODUCT(($F$14:$F$21)*(BR14:BR21&lt;&gt;"")*(BR14:BR21&lt;&gt;"NE"))*$F$13),"")</f>
        <v/>
      </c>
      <c r="BT13" s="14" t="n"/>
      <c r="BU13" s="14" t="n"/>
      <c r="BV13" s="19">
        <f>IFERROR(SUM(BV14:BV21)/(SUMPRODUCT(($F$14:$F$21)*(BU14:BU21&lt;&gt;"")*(BU14:BU21&lt;&gt;"NE"))*$F$13),"")</f>
        <v/>
      </c>
      <c r="BW13" s="14" t="n"/>
      <c r="BX13" s="14" t="n"/>
      <c r="BY13" s="19">
        <f>IFERROR(SUM(BY14:BY21)/(SUMPRODUCT(($F$14:$F$21)*(BX14:BX21&lt;&gt;"")*(BX14:BX21&lt;&gt;"NE"))*$F$13),"")</f>
        <v/>
      </c>
      <c r="BZ13" s="14" t="n"/>
      <c r="CA13" s="14" t="n"/>
      <c r="CB13" s="19">
        <f>IFERROR(SUM(CB14:CB21)/(SUMPRODUCT(($F$14:$F$21)*(CA14:CA21&lt;&gt;"")*(CA14:CA21&lt;&gt;"NE"))*$F$13),"")</f>
        <v/>
      </c>
      <c r="CC13" s="14" t="n"/>
      <c r="CD13" s="14" t="n"/>
      <c r="CE13" s="19">
        <f>IFERROR(SUM(CE14:CE21)/(SUMPRODUCT(($F$14:$F$21)*(CD14:CD21&lt;&gt;"")*(CD14:CD21&lt;&gt;"NE"))*$F$13),"")</f>
        <v/>
      </c>
      <c r="CF13" s="14" t="n"/>
      <c r="CG13" s="14" t="n"/>
      <c r="CH13" s="19">
        <f>IFERROR(SUM(CH14:CH21)/(SUMPRODUCT(($F$14:$F$21)*(CG14:CG21&lt;&gt;"")*(CG14:CG21&lt;&gt;"NE"))*$F$13),"")</f>
        <v/>
      </c>
      <c r="CI13" s="14" t="n"/>
      <c r="CJ13" s="14" t="n"/>
      <c r="CK13" s="19">
        <f>IFERROR(SUM(CK14:CK21)/(SUMPRODUCT(($F$14:$F$21)*(CJ14:CJ21&lt;&gt;"")*(CJ14:CJ21&lt;&gt;"NE"))*$F$13),"")</f>
        <v/>
      </c>
      <c r="CL13" s="14" t="n"/>
      <c r="CM13" s="14" t="n"/>
      <c r="CN13" s="19">
        <f>IFERROR(SUM(CN14:CN21)/(SUMPRODUCT(($F$14:$F$21)*(CM14:CM21&lt;&gt;"")*(CM14:CM21&lt;&gt;"NE"))*$F$13),"")</f>
        <v/>
      </c>
      <c r="CO13" s="14" t="n"/>
      <c r="CP13" s="14" t="n"/>
      <c r="CQ13" s="19">
        <f>IFERROR(SUM(CQ14:CQ21)/(SUMPRODUCT(($F$14:$F$21)*(CP14:CP21&lt;&gt;"")*(CP14:CP21&lt;&gt;"NE"))*$F$13),"")</f>
        <v/>
      </c>
      <c r="CR13" s="14" t="n"/>
    </row>
    <row r="14" ht="36" customHeight="1">
      <c r="A14" s="20" t="n">
        <v>8</v>
      </c>
      <c r="B14" s="20" t="inlineStr">
        <is>
          <t>P2</t>
        </is>
      </c>
      <c r="C14" s="20" t="inlineStr">
        <is>
          <t>Q2.1</t>
        </is>
      </c>
      <c r="D14" s="20" t="inlineStr">
        <is>
          <t>Critère</t>
        </is>
      </c>
      <c r="E14" s="21" t="inlineStr">
        <is>
          <t>Type 1 : flux entrant = énergie électrique.</t>
        </is>
      </c>
      <c r="F14" s="22" t="n">
        <v>0.1</v>
      </c>
      <c r="G14" s="23" t="n"/>
      <c r="H14" s="24">
        <f>IF(G14="","",IF(G14="NE","",(IFERROR(IF(ISNUMBER(G14),G14,VALUE(G14)),0)/2)*$F14*$F$13*20))</f>
        <v/>
      </c>
      <c r="I14" s="25">
        <f>IF(G14="","◄",IF(G14="NE","~",""))</f>
        <v/>
      </c>
      <c r="J14" s="23" t="n"/>
      <c r="K14" s="24">
        <f>IF(J14="","",IF(J14="NE","",(IFERROR(IF(ISNUMBER(J14),J14,VALUE(J14)),0)/2)*$F14*$F$13*20))</f>
        <v/>
      </c>
      <c r="L14" s="25">
        <f>IF(J14="","◄",IF(J14="NE","~",""))</f>
        <v/>
      </c>
      <c r="M14" s="23" t="n"/>
      <c r="N14" s="24">
        <f>IF(M14="","",IF(M14="NE","",(IFERROR(IF(ISNUMBER(M14),M14,VALUE(M14)),0)/2)*$F14*$F$13*20))</f>
        <v/>
      </c>
      <c r="O14" s="25">
        <f>IF(M14="","◄",IF(M14="NE","~",""))</f>
        <v/>
      </c>
      <c r="P14" s="23" t="n"/>
      <c r="Q14" s="24">
        <f>IF(P14="","",IF(P14="NE","",(IFERROR(IF(ISNUMBER(P14),P14,VALUE(P14)),0)/2)*$F14*$F$13*20))</f>
        <v/>
      </c>
      <c r="R14" s="25">
        <f>IF(P14="","◄",IF(P14="NE","~",""))</f>
        <v/>
      </c>
      <c r="S14" s="23" t="n"/>
      <c r="T14" s="24">
        <f>IF(S14="","",IF(S14="NE","",(IFERROR(IF(ISNUMBER(S14),S14,VALUE(S14)),0)/2)*$F14*$F$13*20))</f>
        <v/>
      </c>
      <c r="U14" s="25">
        <f>IF(S14="","◄",IF(S14="NE","~",""))</f>
        <v/>
      </c>
      <c r="V14" s="23" t="n"/>
      <c r="W14" s="24">
        <f>IF(V14="","",IF(V14="NE","",(IFERROR(IF(ISNUMBER(V14),V14,VALUE(V14)),0)/2)*$F14*$F$13*20))</f>
        <v/>
      </c>
      <c r="X14" s="25">
        <f>IF(V14="","◄",IF(V14="NE","~",""))</f>
        <v/>
      </c>
      <c r="Y14" s="23" t="n"/>
      <c r="Z14" s="24">
        <f>IF(Y14="","",IF(Y14="NE","",(IFERROR(IF(ISNUMBER(Y14),Y14,VALUE(Y14)),0)/2)*$F14*$F$13*20))</f>
        <v/>
      </c>
      <c r="AA14" s="25">
        <f>IF(Y14="","◄",IF(Y14="NE","~",""))</f>
        <v/>
      </c>
      <c r="AB14" s="23" t="n"/>
      <c r="AC14" s="24">
        <f>IF(AB14="","",IF(AB14="NE","",(IFERROR(IF(ISNUMBER(AB14),AB14,VALUE(AB14)),0)/2)*$F14*$F$13*20))</f>
        <v/>
      </c>
      <c r="AD14" s="25">
        <f>IF(AB14="","◄",IF(AB14="NE","~",""))</f>
        <v/>
      </c>
      <c r="AE14" s="23" t="n"/>
      <c r="AF14" s="24">
        <f>IF(AE14="","",IF(AE14="NE","",(IFERROR(IF(ISNUMBER(AE14),AE14,VALUE(AE14)),0)/2)*$F14*$F$13*20))</f>
        <v/>
      </c>
      <c r="AG14" s="25">
        <f>IF(AE14="","◄",IF(AE14="NE","~",""))</f>
        <v/>
      </c>
      <c r="AH14" s="23" t="n"/>
      <c r="AI14" s="24">
        <f>IF(AH14="","",IF(AH14="NE","",(IFERROR(IF(ISNUMBER(AH14),AH14,VALUE(AH14)),0)/2)*$F14*$F$13*20))</f>
        <v/>
      </c>
      <c r="AJ14" s="25">
        <f>IF(AH14="","◄",IF(AH14="NE","~",""))</f>
        <v/>
      </c>
      <c r="AK14" s="23" t="n"/>
      <c r="AL14" s="24">
        <f>IF(AK14="","",IF(AK14="NE","",(IFERROR(IF(ISNUMBER(AK14),AK14,VALUE(AK14)),0)/2)*$F14*$F$13*20))</f>
        <v/>
      </c>
      <c r="AM14" s="25">
        <f>IF(AK14="","◄",IF(AK14="NE","~",""))</f>
        <v/>
      </c>
      <c r="AN14" s="23" t="n"/>
      <c r="AO14" s="24">
        <f>IF(AN14="","",IF(AN14="NE","",(IFERROR(IF(ISNUMBER(AN14),AN14,VALUE(AN14)),0)/2)*$F14*$F$13*20))</f>
        <v/>
      </c>
      <c r="AP14" s="25">
        <f>IF(AN14="","◄",IF(AN14="NE","~",""))</f>
        <v/>
      </c>
      <c r="AQ14" s="23" t="n"/>
      <c r="AR14" s="24">
        <f>IF(AQ14="","",IF(AQ14="NE","",(IFERROR(IF(ISNUMBER(AQ14),AQ14,VALUE(AQ14)),0)/2)*$F14*$F$13*20))</f>
        <v/>
      </c>
      <c r="AS14" s="25">
        <f>IF(AQ14="","◄",IF(AQ14="NE","~",""))</f>
        <v/>
      </c>
      <c r="AT14" s="23" t="n"/>
      <c r="AU14" s="24">
        <f>IF(AT14="","",IF(AT14="NE","",(IFERROR(IF(ISNUMBER(AT14),AT14,VALUE(AT14)),0)/2)*$F14*$F$13*20))</f>
        <v/>
      </c>
      <c r="AV14" s="25">
        <f>IF(AT14="","◄",IF(AT14="NE","~",""))</f>
        <v/>
      </c>
      <c r="AW14" s="23" t="n"/>
      <c r="AX14" s="24">
        <f>IF(AW14="","",IF(AW14="NE","",(IFERROR(IF(ISNUMBER(AW14),AW14,VALUE(AW14)),0)/2)*$F14*$F$13*20))</f>
        <v/>
      </c>
      <c r="AY14" s="25">
        <f>IF(AW14="","◄",IF(AW14="NE","~",""))</f>
        <v/>
      </c>
      <c r="AZ14" s="23" t="n"/>
      <c r="BA14" s="24">
        <f>IF(AZ14="","",IF(AZ14="NE","",(IFERROR(IF(ISNUMBER(AZ14),AZ14,VALUE(AZ14)),0)/2)*$F14*$F$13*20))</f>
        <v/>
      </c>
      <c r="BB14" s="25">
        <f>IF(AZ14="","◄",IF(AZ14="NE","~",""))</f>
        <v/>
      </c>
      <c r="BC14" s="23" t="n"/>
      <c r="BD14" s="24">
        <f>IF(BC14="","",IF(BC14="NE","",(IFERROR(IF(ISNUMBER(BC14),BC14,VALUE(BC14)),0)/2)*$F14*$F$13*20))</f>
        <v/>
      </c>
      <c r="BE14" s="25">
        <f>IF(BC14="","◄",IF(BC14="NE","~",""))</f>
        <v/>
      </c>
      <c r="BF14" s="23" t="n"/>
      <c r="BG14" s="24">
        <f>IF(BF14="","",IF(BF14="NE","",(IFERROR(IF(ISNUMBER(BF14),BF14,VALUE(BF14)),0)/2)*$F14*$F$13*20))</f>
        <v/>
      </c>
      <c r="BH14" s="25">
        <f>IF(BF14="","◄",IF(BF14="NE","~",""))</f>
        <v/>
      </c>
      <c r="BI14" s="23" t="n"/>
      <c r="BJ14" s="24">
        <f>IF(BI14="","",IF(BI14="NE","",(IFERROR(IF(ISNUMBER(BI14),BI14,VALUE(BI14)),0)/2)*$F14*$F$13*20))</f>
        <v/>
      </c>
      <c r="BK14" s="25">
        <f>IF(BI14="","◄",IF(BI14="NE","~",""))</f>
        <v/>
      </c>
      <c r="BL14" s="23" t="n"/>
      <c r="BM14" s="24">
        <f>IF(BL14="","",IF(BL14="NE","",(IFERROR(IF(ISNUMBER(BL14),BL14,VALUE(BL14)),0)/2)*$F14*$F$13*20))</f>
        <v/>
      </c>
      <c r="BN14" s="25">
        <f>IF(BL14="","◄",IF(BL14="NE","~",""))</f>
        <v/>
      </c>
      <c r="BO14" s="23" t="n"/>
      <c r="BP14" s="24">
        <f>IF(BO14="","",IF(BO14="NE","",(IFERROR(IF(ISNUMBER(BO14),BO14,VALUE(BO14)),0)/2)*$F14*$F$13*20))</f>
        <v/>
      </c>
      <c r="BQ14" s="25">
        <f>IF(BO14="","◄",IF(BO14="NE","~",""))</f>
        <v/>
      </c>
      <c r="BR14" s="23" t="n"/>
      <c r="BS14" s="24">
        <f>IF(BR14="","",IF(BR14="NE","",(IFERROR(IF(ISNUMBER(BR14),BR14,VALUE(BR14)),0)/2)*$F14*$F$13*20))</f>
        <v/>
      </c>
      <c r="BT14" s="25">
        <f>IF(BR14="","◄",IF(BR14="NE","~",""))</f>
        <v/>
      </c>
      <c r="BU14" s="23" t="n"/>
      <c r="BV14" s="24">
        <f>IF(BU14="","",IF(BU14="NE","",(IFERROR(IF(ISNUMBER(BU14),BU14,VALUE(BU14)),0)/2)*$F14*$F$13*20))</f>
        <v/>
      </c>
      <c r="BW14" s="25">
        <f>IF(BU14="","◄",IF(BU14="NE","~",""))</f>
        <v/>
      </c>
      <c r="BX14" s="23" t="n"/>
      <c r="BY14" s="24">
        <f>IF(BX14="","",IF(BX14="NE","",(IFERROR(IF(ISNUMBER(BX14),BX14,VALUE(BX14)),0)/2)*$F14*$F$13*20))</f>
        <v/>
      </c>
      <c r="BZ14" s="25">
        <f>IF(BX14="","◄",IF(BX14="NE","~",""))</f>
        <v/>
      </c>
      <c r="CA14" s="23" t="n"/>
      <c r="CB14" s="24">
        <f>IF(CA14="","",IF(CA14="NE","",(IFERROR(IF(ISNUMBER(CA14),CA14,VALUE(CA14)),0)/2)*$F14*$F$13*20))</f>
        <v/>
      </c>
      <c r="CC14" s="25">
        <f>IF(CA14="","◄",IF(CA14="NE","~",""))</f>
        <v/>
      </c>
      <c r="CD14" s="23" t="n"/>
      <c r="CE14" s="24">
        <f>IF(CD14="","",IF(CD14="NE","",(IFERROR(IF(ISNUMBER(CD14),CD14,VALUE(CD14)),0)/2)*$F14*$F$13*20))</f>
        <v/>
      </c>
      <c r="CF14" s="25">
        <f>IF(CD14="","◄",IF(CD14="NE","~",""))</f>
        <v/>
      </c>
      <c r="CG14" s="23" t="n"/>
      <c r="CH14" s="24">
        <f>IF(CG14="","",IF(CG14="NE","",(IFERROR(IF(ISNUMBER(CG14),CG14,VALUE(CG14)),0)/2)*$F14*$F$13*20))</f>
        <v/>
      </c>
      <c r="CI14" s="25">
        <f>IF(CG14="","◄",IF(CG14="NE","~",""))</f>
        <v/>
      </c>
      <c r="CJ14" s="23" t="n"/>
      <c r="CK14" s="24">
        <f>IF(CJ14="","",IF(CJ14="NE","",(IFERROR(IF(ISNUMBER(CJ14),CJ14,VALUE(CJ14)),0)/2)*$F14*$F$13*20))</f>
        <v/>
      </c>
      <c r="CL14" s="25">
        <f>IF(CJ14="","◄",IF(CJ14="NE","~",""))</f>
        <v/>
      </c>
      <c r="CM14" s="23" t="n"/>
      <c r="CN14" s="24">
        <f>IF(CM14="","",IF(CM14="NE","",(IFERROR(IF(ISNUMBER(CM14),CM14,VALUE(CM14)),0)/2)*$F14*$F$13*20))</f>
        <v/>
      </c>
      <c r="CO14" s="25">
        <f>IF(CM14="","◄",IF(CM14="NE","~",""))</f>
        <v/>
      </c>
      <c r="CP14" s="23" t="n"/>
      <c r="CQ14" s="24">
        <f>IF(CP14="","",IF(CP14="NE","",(IFERROR(IF(ISNUMBER(CP14),CP14,VALUE(CP14)),0)/2)*$F14*$F$13*20))</f>
        <v/>
      </c>
      <c r="CR14" s="25">
        <f>IF(CP14="","◄",IF(CP14="NE","~",""))</f>
        <v/>
      </c>
    </row>
    <row r="15" ht="36" customHeight="1">
      <c r="A15" s="20" t="n">
        <v>9</v>
      </c>
      <c r="B15" s="20" t="inlineStr">
        <is>
          <t>P2</t>
        </is>
      </c>
      <c r="C15" s="20" t="inlineStr">
        <is>
          <t>Q2.1</t>
        </is>
      </c>
      <c r="D15" s="20" t="inlineStr">
        <is>
          <t>Critère</t>
        </is>
      </c>
      <c r="E15" s="21" t="inlineStr">
        <is>
          <t>Type 2 : entrants = énergie élec + gaz GRDF ; sortants = méthane (GRDF) + thermique perdue (torchère).</t>
        </is>
      </c>
      <c r="F15" s="22" t="n">
        <v>0.1</v>
      </c>
      <c r="G15" s="23" t="n"/>
      <c r="H15" s="24">
        <f>IF(G15="","",IF(G15="NE","",(IFERROR(IF(ISNUMBER(G15),G15,VALUE(G15)),0)/2)*$F15*$F$13*20))</f>
        <v/>
      </c>
      <c r="I15" s="25">
        <f>IF(G15="","◄",IF(G15="NE","~",""))</f>
        <v/>
      </c>
      <c r="J15" s="23" t="n"/>
      <c r="K15" s="24">
        <f>IF(J15="","",IF(J15="NE","",(IFERROR(IF(ISNUMBER(J15),J15,VALUE(J15)),0)/2)*$F15*$F$13*20))</f>
        <v/>
      </c>
      <c r="L15" s="25">
        <f>IF(J15="","◄",IF(J15="NE","~",""))</f>
        <v/>
      </c>
      <c r="M15" s="23" t="n"/>
      <c r="N15" s="24">
        <f>IF(M15="","",IF(M15="NE","",(IFERROR(IF(ISNUMBER(M15),M15,VALUE(M15)),0)/2)*$F15*$F$13*20))</f>
        <v/>
      </c>
      <c r="O15" s="25">
        <f>IF(M15="","◄",IF(M15="NE","~",""))</f>
        <v/>
      </c>
      <c r="P15" s="23" t="n"/>
      <c r="Q15" s="24">
        <f>IF(P15="","",IF(P15="NE","",(IFERROR(IF(ISNUMBER(P15),P15,VALUE(P15)),0)/2)*$F15*$F$13*20))</f>
        <v/>
      </c>
      <c r="R15" s="25">
        <f>IF(P15="","◄",IF(P15="NE","~",""))</f>
        <v/>
      </c>
      <c r="S15" s="23" t="n"/>
      <c r="T15" s="24">
        <f>IF(S15="","",IF(S15="NE","",(IFERROR(IF(ISNUMBER(S15),S15,VALUE(S15)),0)/2)*$F15*$F$13*20))</f>
        <v/>
      </c>
      <c r="U15" s="25">
        <f>IF(S15="","◄",IF(S15="NE","~",""))</f>
        <v/>
      </c>
      <c r="V15" s="23" t="n"/>
      <c r="W15" s="24">
        <f>IF(V15="","",IF(V15="NE","",(IFERROR(IF(ISNUMBER(V15),V15,VALUE(V15)),0)/2)*$F15*$F$13*20))</f>
        <v/>
      </c>
      <c r="X15" s="25">
        <f>IF(V15="","◄",IF(V15="NE","~",""))</f>
        <v/>
      </c>
      <c r="Y15" s="23" t="n"/>
      <c r="Z15" s="24">
        <f>IF(Y15="","",IF(Y15="NE","",(IFERROR(IF(ISNUMBER(Y15),Y15,VALUE(Y15)),0)/2)*$F15*$F$13*20))</f>
        <v/>
      </c>
      <c r="AA15" s="25">
        <f>IF(Y15="","◄",IF(Y15="NE","~",""))</f>
        <v/>
      </c>
      <c r="AB15" s="23" t="n"/>
      <c r="AC15" s="24">
        <f>IF(AB15="","",IF(AB15="NE","",(IFERROR(IF(ISNUMBER(AB15),AB15,VALUE(AB15)),0)/2)*$F15*$F$13*20))</f>
        <v/>
      </c>
      <c r="AD15" s="25">
        <f>IF(AB15="","◄",IF(AB15="NE","~",""))</f>
        <v/>
      </c>
      <c r="AE15" s="23" t="n"/>
      <c r="AF15" s="24">
        <f>IF(AE15="","",IF(AE15="NE","",(IFERROR(IF(ISNUMBER(AE15),AE15,VALUE(AE15)),0)/2)*$F15*$F$13*20))</f>
        <v/>
      </c>
      <c r="AG15" s="25">
        <f>IF(AE15="","◄",IF(AE15="NE","~",""))</f>
        <v/>
      </c>
      <c r="AH15" s="23" t="n"/>
      <c r="AI15" s="24">
        <f>IF(AH15="","",IF(AH15="NE","",(IFERROR(IF(ISNUMBER(AH15),AH15,VALUE(AH15)),0)/2)*$F15*$F$13*20))</f>
        <v/>
      </c>
      <c r="AJ15" s="25">
        <f>IF(AH15="","◄",IF(AH15="NE","~",""))</f>
        <v/>
      </c>
      <c r="AK15" s="23" t="n"/>
      <c r="AL15" s="24">
        <f>IF(AK15="","",IF(AK15="NE","",(IFERROR(IF(ISNUMBER(AK15),AK15,VALUE(AK15)),0)/2)*$F15*$F$13*20))</f>
        <v/>
      </c>
      <c r="AM15" s="25">
        <f>IF(AK15="","◄",IF(AK15="NE","~",""))</f>
        <v/>
      </c>
      <c r="AN15" s="23" t="n"/>
      <c r="AO15" s="24">
        <f>IF(AN15="","",IF(AN15="NE","",(IFERROR(IF(ISNUMBER(AN15),AN15,VALUE(AN15)),0)/2)*$F15*$F$13*20))</f>
        <v/>
      </c>
      <c r="AP15" s="25">
        <f>IF(AN15="","◄",IF(AN15="NE","~",""))</f>
        <v/>
      </c>
      <c r="AQ15" s="23" t="n"/>
      <c r="AR15" s="24">
        <f>IF(AQ15="","",IF(AQ15="NE","",(IFERROR(IF(ISNUMBER(AQ15),AQ15,VALUE(AQ15)),0)/2)*$F15*$F$13*20))</f>
        <v/>
      </c>
      <c r="AS15" s="25">
        <f>IF(AQ15="","◄",IF(AQ15="NE","~",""))</f>
        <v/>
      </c>
      <c r="AT15" s="23" t="n"/>
      <c r="AU15" s="24">
        <f>IF(AT15="","",IF(AT15="NE","",(IFERROR(IF(ISNUMBER(AT15),AT15,VALUE(AT15)),0)/2)*$F15*$F$13*20))</f>
        <v/>
      </c>
      <c r="AV15" s="25">
        <f>IF(AT15="","◄",IF(AT15="NE","~",""))</f>
        <v/>
      </c>
      <c r="AW15" s="23" t="n"/>
      <c r="AX15" s="24">
        <f>IF(AW15="","",IF(AW15="NE","",(IFERROR(IF(ISNUMBER(AW15),AW15,VALUE(AW15)),0)/2)*$F15*$F$13*20))</f>
        <v/>
      </c>
      <c r="AY15" s="25">
        <f>IF(AW15="","◄",IF(AW15="NE","~",""))</f>
        <v/>
      </c>
      <c r="AZ15" s="23" t="n"/>
      <c r="BA15" s="24">
        <f>IF(AZ15="","",IF(AZ15="NE","",(IFERROR(IF(ISNUMBER(AZ15),AZ15,VALUE(AZ15)),0)/2)*$F15*$F$13*20))</f>
        <v/>
      </c>
      <c r="BB15" s="25">
        <f>IF(AZ15="","◄",IF(AZ15="NE","~",""))</f>
        <v/>
      </c>
      <c r="BC15" s="23" t="n"/>
      <c r="BD15" s="24">
        <f>IF(BC15="","",IF(BC15="NE","",(IFERROR(IF(ISNUMBER(BC15),BC15,VALUE(BC15)),0)/2)*$F15*$F$13*20))</f>
        <v/>
      </c>
      <c r="BE15" s="25">
        <f>IF(BC15="","◄",IF(BC15="NE","~",""))</f>
        <v/>
      </c>
      <c r="BF15" s="23" t="n"/>
      <c r="BG15" s="24">
        <f>IF(BF15="","",IF(BF15="NE","",(IFERROR(IF(ISNUMBER(BF15),BF15,VALUE(BF15)),0)/2)*$F15*$F$13*20))</f>
        <v/>
      </c>
      <c r="BH15" s="25">
        <f>IF(BF15="","◄",IF(BF15="NE","~",""))</f>
        <v/>
      </c>
      <c r="BI15" s="23" t="n"/>
      <c r="BJ15" s="24">
        <f>IF(BI15="","",IF(BI15="NE","",(IFERROR(IF(ISNUMBER(BI15),BI15,VALUE(BI15)),0)/2)*$F15*$F$13*20))</f>
        <v/>
      </c>
      <c r="BK15" s="25">
        <f>IF(BI15="","◄",IF(BI15="NE","~",""))</f>
        <v/>
      </c>
      <c r="BL15" s="23" t="n"/>
      <c r="BM15" s="24">
        <f>IF(BL15="","",IF(BL15="NE","",(IFERROR(IF(ISNUMBER(BL15),BL15,VALUE(BL15)),0)/2)*$F15*$F$13*20))</f>
        <v/>
      </c>
      <c r="BN15" s="25">
        <f>IF(BL15="","◄",IF(BL15="NE","~",""))</f>
        <v/>
      </c>
      <c r="BO15" s="23" t="n"/>
      <c r="BP15" s="24">
        <f>IF(BO15="","",IF(BO15="NE","",(IFERROR(IF(ISNUMBER(BO15),BO15,VALUE(BO15)),0)/2)*$F15*$F$13*20))</f>
        <v/>
      </c>
      <c r="BQ15" s="25">
        <f>IF(BO15="","◄",IF(BO15="NE","~",""))</f>
        <v/>
      </c>
      <c r="BR15" s="23" t="n"/>
      <c r="BS15" s="24">
        <f>IF(BR15="","",IF(BR15="NE","",(IFERROR(IF(ISNUMBER(BR15),BR15,VALUE(BR15)),0)/2)*$F15*$F$13*20))</f>
        <v/>
      </c>
      <c r="BT15" s="25">
        <f>IF(BR15="","◄",IF(BR15="NE","~",""))</f>
        <v/>
      </c>
      <c r="BU15" s="23" t="n"/>
      <c r="BV15" s="24">
        <f>IF(BU15="","",IF(BU15="NE","",(IFERROR(IF(ISNUMBER(BU15),BU15,VALUE(BU15)),0)/2)*$F15*$F$13*20))</f>
        <v/>
      </c>
      <c r="BW15" s="25">
        <f>IF(BU15="","◄",IF(BU15="NE","~",""))</f>
        <v/>
      </c>
      <c r="BX15" s="23" t="n"/>
      <c r="BY15" s="24">
        <f>IF(BX15="","",IF(BX15="NE","",(IFERROR(IF(ISNUMBER(BX15),BX15,VALUE(BX15)),0)/2)*$F15*$F$13*20))</f>
        <v/>
      </c>
      <c r="BZ15" s="25">
        <f>IF(BX15="","◄",IF(BX15="NE","~",""))</f>
        <v/>
      </c>
      <c r="CA15" s="23" t="n"/>
      <c r="CB15" s="24">
        <f>IF(CA15="","",IF(CA15="NE","",(IFERROR(IF(ISNUMBER(CA15),CA15,VALUE(CA15)),0)/2)*$F15*$F$13*20))</f>
        <v/>
      </c>
      <c r="CC15" s="25">
        <f>IF(CA15="","◄",IF(CA15="NE","~",""))</f>
        <v/>
      </c>
      <c r="CD15" s="23" t="n"/>
      <c r="CE15" s="24">
        <f>IF(CD15="","",IF(CD15="NE","",(IFERROR(IF(ISNUMBER(CD15),CD15,VALUE(CD15)),0)/2)*$F15*$F$13*20))</f>
        <v/>
      </c>
      <c r="CF15" s="25">
        <f>IF(CD15="","◄",IF(CD15="NE","~",""))</f>
        <v/>
      </c>
      <c r="CG15" s="23" t="n"/>
      <c r="CH15" s="24">
        <f>IF(CG15="","",IF(CG15="NE","",(IFERROR(IF(ISNUMBER(CG15),CG15,VALUE(CG15)),0)/2)*$F15*$F$13*20))</f>
        <v/>
      </c>
      <c r="CI15" s="25">
        <f>IF(CG15="","◄",IF(CG15="NE","~",""))</f>
        <v/>
      </c>
      <c r="CJ15" s="23" t="n"/>
      <c r="CK15" s="24">
        <f>IF(CJ15="","",IF(CJ15="NE","",(IFERROR(IF(ISNUMBER(CJ15),CJ15,VALUE(CJ15)),0)/2)*$F15*$F$13*20))</f>
        <v/>
      </c>
      <c r="CL15" s="25">
        <f>IF(CJ15="","◄",IF(CJ15="NE","~",""))</f>
        <v/>
      </c>
      <c r="CM15" s="23" t="n"/>
      <c r="CN15" s="24">
        <f>IF(CM15="","",IF(CM15="NE","",(IFERROR(IF(ISNUMBER(CM15),CM15,VALUE(CM15)),0)/2)*$F15*$F$13*20))</f>
        <v/>
      </c>
      <c r="CO15" s="25">
        <f>IF(CM15="","◄",IF(CM15="NE","~",""))</f>
        <v/>
      </c>
      <c r="CP15" s="23" t="n"/>
      <c r="CQ15" s="24">
        <f>IF(CP15="","",IF(CP15="NE","",(IFERROR(IF(ISNUMBER(CP15),CP15,VALUE(CP15)),0)/2)*$F15*$F$13*20))</f>
        <v/>
      </c>
      <c r="CR15" s="25">
        <f>IF(CP15="","◄",IF(CP15="NE","~",""))</f>
        <v/>
      </c>
    </row>
    <row r="16" ht="36" customHeight="1">
      <c r="A16" s="20" t="n">
        <v>10</v>
      </c>
      <c r="B16" s="20" t="inlineStr">
        <is>
          <t>P2</t>
        </is>
      </c>
      <c r="C16" s="20" t="inlineStr">
        <is>
          <t>Q2.2</t>
        </is>
      </c>
      <c r="D16" s="20" t="inlineStr">
        <is>
          <t>Critère</t>
        </is>
      </c>
      <c r="E16" s="21" t="inlineStr">
        <is>
          <t>Calcul : 6 160 000 × 0,1 = 616 000 kgeq.CO₂/an.</t>
        </is>
      </c>
      <c r="F16" s="22" t="n">
        <v>0.1</v>
      </c>
      <c r="G16" s="23" t="n"/>
      <c r="H16" s="24">
        <f>IF(G16="","",IF(G16="NE","",(IFERROR(IF(ISNUMBER(G16),G16,VALUE(G16)),0)/2)*$F16*$F$13*20))</f>
        <v/>
      </c>
      <c r="I16" s="25">
        <f>IF(G16="","◄",IF(G16="NE","~",""))</f>
        <v/>
      </c>
      <c r="J16" s="23" t="n"/>
      <c r="K16" s="24">
        <f>IF(J16="","",IF(J16="NE","",(IFERROR(IF(ISNUMBER(J16),J16,VALUE(J16)),0)/2)*$F16*$F$13*20))</f>
        <v/>
      </c>
      <c r="L16" s="25">
        <f>IF(J16="","◄",IF(J16="NE","~",""))</f>
        <v/>
      </c>
      <c r="M16" s="23" t="n"/>
      <c r="N16" s="24">
        <f>IF(M16="","",IF(M16="NE","",(IFERROR(IF(ISNUMBER(M16),M16,VALUE(M16)),0)/2)*$F16*$F$13*20))</f>
        <v/>
      </c>
      <c r="O16" s="25">
        <f>IF(M16="","◄",IF(M16="NE","~",""))</f>
        <v/>
      </c>
      <c r="P16" s="23" t="n"/>
      <c r="Q16" s="24">
        <f>IF(P16="","",IF(P16="NE","",(IFERROR(IF(ISNUMBER(P16),P16,VALUE(P16)),0)/2)*$F16*$F$13*20))</f>
        <v/>
      </c>
      <c r="R16" s="25">
        <f>IF(P16="","◄",IF(P16="NE","~",""))</f>
        <v/>
      </c>
      <c r="S16" s="23" t="n"/>
      <c r="T16" s="24">
        <f>IF(S16="","",IF(S16="NE","",(IFERROR(IF(ISNUMBER(S16),S16,VALUE(S16)),0)/2)*$F16*$F$13*20))</f>
        <v/>
      </c>
      <c r="U16" s="25">
        <f>IF(S16="","◄",IF(S16="NE","~",""))</f>
        <v/>
      </c>
      <c r="V16" s="23" t="n"/>
      <c r="W16" s="24">
        <f>IF(V16="","",IF(V16="NE","",(IFERROR(IF(ISNUMBER(V16),V16,VALUE(V16)),0)/2)*$F16*$F$13*20))</f>
        <v/>
      </c>
      <c r="X16" s="25">
        <f>IF(V16="","◄",IF(V16="NE","~",""))</f>
        <v/>
      </c>
      <c r="Y16" s="23" t="n"/>
      <c r="Z16" s="24">
        <f>IF(Y16="","",IF(Y16="NE","",(IFERROR(IF(ISNUMBER(Y16),Y16,VALUE(Y16)),0)/2)*$F16*$F$13*20))</f>
        <v/>
      </c>
      <c r="AA16" s="25">
        <f>IF(Y16="","◄",IF(Y16="NE","~",""))</f>
        <v/>
      </c>
      <c r="AB16" s="23" t="n"/>
      <c r="AC16" s="24">
        <f>IF(AB16="","",IF(AB16="NE","",(IFERROR(IF(ISNUMBER(AB16),AB16,VALUE(AB16)),0)/2)*$F16*$F$13*20))</f>
        <v/>
      </c>
      <c r="AD16" s="25">
        <f>IF(AB16="","◄",IF(AB16="NE","~",""))</f>
        <v/>
      </c>
      <c r="AE16" s="23" t="n"/>
      <c r="AF16" s="24">
        <f>IF(AE16="","",IF(AE16="NE","",(IFERROR(IF(ISNUMBER(AE16),AE16,VALUE(AE16)),0)/2)*$F16*$F$13*20))</f>
        <v/>
      </c>
      <c r="AG16" s="25">
        <f>IF(AE16="","◄",IF(AE16="NE","~",""))</f>
        <v/>
      </c>
      <c r="AH16" s="23" t="n"/>
      <c r="AI16" s="24">
        <f>IF(AH16="","",IF(AH16="NE","",(IFERROR(IF(ISNUMBER(AH16),AH16,VALUE(AH16)),0)/2)*$F16*$F$13*20))</f>
        <v/>
      </c>
      <c r="AJ16" s="25">
        <f>IF(AH16="","◄",IF(AH16="NE","~",""))</f>
        <v/>
      </c>
      <c r="AK16" s="23" t="n"/>
      <c r="AL16" s="24">
        <f>IF(AK16="","",IF(AK16="NE","",(IFERROR(IF(ISNUMBER(AK16),AK16,VALUE(AK16)),0)/2)*$F16*$F$13*20))</f>
        <v/>
      </c>
      <c r="AM16" s="25">
        <f>IF(AK16="","◄",IF(AK16="NE","~",""))</f>
        <v/>
      </c>
      <c r="AN16" s="23" t="n"/>
      <c r="AO16" s="24">
        <f>IF(AN16="","",IF(AN16="NE","",(IFERROR(IF(ISNUMBER(AN16),AN16,VALUE(AN16)),0)/2)*$F16*$F$13*20))</f>
        <v/>
      </c>
      <c r="AP16" s="25">
        <f>IF(AN16="","◄",IF(AN16="NE","~",""))</f>
        <v/>
      </c>
      <c r="AQ16" s="23" t="n"/>
      <c r="AR16" s="24">
        <f>IF(AQ16="","",IF(AQ16="NE","",(IFERROR(IF(ISNUMBER(AQ16),AQ16,VALUE(AQ16)),0)/2)*$F16*$F$13*20))</f>
        <v/>
      </c>
      <c r="AS16" s="25">
        <f>IF(AQ16="","◄",IF(AQ16="NE","~",""))</f>
        <v/>
      </c>
      <c r="AT16" s="23" t="n"/>
      <c r="AU16" s="24">
        <f>IF(AT16="","",IF(AT16="NE","",(IFERROR(IF(ISNUMBER(AT16),AT16,VALUE(AT16)),0)/2)*$F16*$F$13*20))</f>
        <v/>
      </c>
      <c r="AV16" s="25">
        <f>IF(AT16="","◄",IF(AT16="NE","~",""))</f>
        <v/>
      </c>
      <c r="AW16" s="23" t="n"/>
      <c r="AX16" s="24">
        <f>IF(AW16="","",IF(AW16="NE","",(IFERROR(IF(ISNUMBER(AW16),AW16,VALUE(AW16)),0)/2)*$F16*$F$13*20))</f>
        <v/>
      </c>
      <c r="AY16" s="25">
        <f>IF(AW16="","◄",IF(AW16="NE","~",""))</f>
        <v/>
      </c>
      <c r="AZ16" s="23" t="n"/>
      <c r="BA16" s="24">
        <f>IF(AZ16="","",IF(AZ16="NE","",(IFERROR(IF(ISNUMBER(AZ16),AZ16,VALUE(AZ16)),0)/2)*$F16*$F$13*20))</f>
        <v/>
      </c>
      <c r="BB16" s="25">
        <f>IF(AZ16="","◄",IF(AZ16="NE","~",""))</f>
        <v/>
      </c>
      <c r="BC16" s="23" t="n"/>
      <c r="BD16" s="24">
        <f>IF(BC16="","",IF(BC16="NE","",(IFERROR(IF(ISNUMBER(BC16),BC16,VALUE(BC16)),0)/2)*$F16*$F$13*20))</f>
        <v/>
      </c>
      <c r="BE16" s="25">
        <f>IF(BC16="","◄",IF(BC16="NE","~",""))</f>
        <v/>
      </c>
      <c r="BF16" s="23" t="n"/>
      <c r="BG16" s="24">
        <f>IF(BF16="","",IF(BF16="NE","",(IFERROR(IF(ISNUMBER(BF16),BF16,VALUE(BF16)),0)/2)*$F16*$F$13*20))</f>
        <v/>
      </c>
      <c r="BH16" s="25">
        <f>IF(BF16="","◄",IF(BF16="NE","~",""))</f>
        <v/>
      </c>
      <c r="BI16" s="23" t="n"/>
      <c r="BJ16" s="24">
        <f>IF(BI16="","",IF(BI16="NE","",(IFERROR(IF(ISNUMBER(BI16),BI16,VALUE(BI16)),0)/2)*$F16*$F$13*20))</f>
        <v/>
      </c>
      <c r="BK16" s="25">
        <f>IF(BI16="","◄",IF(BI16="NE","~",""))</f>
        <v/>
      </c>
      <c r="BL16" s="23" t="n"/>
      <c r="BM16" s="24">
        <f>IF(BL16="","",IF(BL16="NE","",(IFERROR(IF(ISNUMBER(BL16),BL16,VALUE(BL16)),0)/2)*$F16*$F$13*20))</f>
        <v/>
      </c>
      <c r="BN16" s="25">
        <f>IF(BL16="","◄",IF(BL16="NE","~",""))</f>
        <v/>
      </c>
      <c r="BO16" s="23" t="n"/>
      <c r="BP16" s="24">
        <f>IF(BO16="","",IF(BO16="NE","",(IFERROR(IF(ISNUMBER(BO16),BO16,VALUE(BO16)),0)/2)*$F16*$F$13*20))</f>
        <v/>
      </c>
      <c r="BQ16" s="25">
        <f>IF(BO16="","◄",IF(BO16="NE","~",""))</f>
        <v/>
      </c>
      <c r="BR16" s="23" t="n"/>
      <c r="BS16" s="24">
        <f>IF(BR16="","",IF(BR16="NE","",(IFERROR(IF(ISNUMBER(BR16),BR16,VALUE(BR16)),0)/2)*$F16*$F$13*20))</f>
        <v/>
      </c>
      <c r="BT16" s="25">
        <f>IF(BR16="","◄",IF(BR16="NE","~",""))</f>
        <v/>
      </c>
      <c r="BU16" s="23" t="n"/>
      <c r="BV16" s="24">
        <f>IF(BU16="","",IF(BU16="NE","",(IFERROR(IF(ISNUMBER(BU16),BU16,VALUE(BU16)),0)/2)*$F16*$F$13*20))</f>
        <v/>
      </c>
      <c r="BW16" s="25">
        <f>IF(BU16="","◄",IF(BU16="NE","~",""))</f>
        <v/>
      </c>
      <c r="BX16" s="23" t="n"/>
      <c r="BY16" s="24">
        <f>IF(BX16="","",IF(BX16="NE","",(IFERROR(IF(ISNUMBER(BX16),BX16,VALUE(BX16)),0)/2)*$F16*$F$13*20))</f>
        <v/>
      </c>
      <c r="BZ16" s="25">
        <f>IF(BX16="","◄",IF(BX16="NE","~",""))</f>
        <v/>
      </c>
      <c r="CA16" s="23" t="n"/>
      <c r="CB16" s="24">
        <f>IF(CA16="","",IF(CA16="NE","",(IFERROR(IF(ISNUMBER(CA16),CA16,VALUE(CA16)),0)/2)*$F16*$F$13*20))</f>
        <v/>
      </c>
      <c r="CC16" s="25">
        <f>IF(CA16="","◄",IF(CA16="NE","~",""))</f>
        <v/>
      </c>
      <c r="CD16" s="23" t="n"/>
      <c r="CE16" s="24">
        <f>IF(CD16="","",IF(CD16="NE","",(IFERROR(IF(ISNUMBER(CD16),CD16,VALUE(CD16)),0)/2)*$F16*$F$13*20))</f>
        <v/>
      </c>
      <c r="CF16" s="25">
        <f>IF(CD16="","◄",IF(CD16="NE","~",""))</f>
        <v/>
      </c>
      <c r="CG16" s="23" t="n"/>
      <c r="CH16" s="24">
        <f>IF(CG16="","",IF(CG16="NE","",(IFERROR(IF(ISNUMBER(CG16),CG16,VALUE(CG16)),0)/2)*$F16*$F$13*20))</f>
        <v/>
      </c>
      <c r="CI16" s="25">
        <f>IF(CG16="","◄",IF(CG16="NE","~",""))</f>
        <v/>
      </c>
      <c r="CJ16" s="23" t="n"/>
      <c r="CK16" s="24">
        <f>IF(CJ16="","",IF(CJ16="NE","",(IFERROR(IF(ISNUMBER(CJ16),CJ16,VALUE(CJ16)),0)/2)*$F16*$F$13*20))</f>
        <v/>
      </c>
      <c r="CL16" s="25">
        <f>IF(CJ16="","◄",IF(CJ16="NE","~",""))</f>
        <v/>
      </c>
      <c r="CM16" s="23" t="n"/>
      <c r="CN16" s="24">
        <f>IF(CM16="","",IF(CM16="NE","",(IFERROR(IF(ISNUMBER(CM16),CM16,VALUE(CM16)),0)/2)*$F16*$F$13*20))</f>
        <v/>
      </c>
      <c r="CO16" s="25">
        <f>IF(CM16="","◄",IF(CM16="NE","~",""))</f>
        <v/>
      </c>
      <c r="CP16" s="23" t="n"/>
      <c r="CQ16" s="24">
        <f>IF(CP16="","",IF(CP16="NE","",(IFERROR(IF(ISNUMBER(CP16),CP16,VALUE(CP16)),0)/2)*$F16*$F$13*20))</f>
        <v/>
      </c>
      <c r="CR16" s="25">
        <f>IF(CP16="","◄",IF(CP16="NE","~",""))</f>
        <v/>
      </c>
    </row>
    <row r="17" ht="36" customHeight="1">
      <c r="A17" s="20" t="n">
        <v>11</v>
      </c>
      <c r="B17" s="20" t="inlineStr">
        <is>
          <t>P2</t>
        </is>
      </c>
      <c r="C17" s="20" t="inlineStr">
        <is>
          <t>Q2.2</t>
        </is>
      </c>
      <c r="D17" s="20" t="inlineStr">
        <is>
          <t>Critère</t>
        </is>
      </c>
      <c r="E17" s="21" t="inlineStr">
        <is>
          <t>Ligne (1) DR2 correctement complétée.</t>
        </is>
      </c>
      <c r="F17" s="22" t="n">
        <v>0.1</v>
      </c>
      <c r="G17" s="23" t="n"/>
      <c r="H17" s="24">
        <f>IF(G17="","",IF(G17="NE","",(IFERROR(IF(ISNUMBER(G17),G17,VALUE(G17)),0)/2)*$F17*$F$13*20))</f>
        <v/>
      </c>
      <c r="I17" s="25">
        <f>IF(G17="","◄",IF(G17="NE","~",""))</f>
        <v/>
      </c>
      <c r="J17" s="23" t="n"/>
      <c r="K17" s="24">
        <f>IF(J17="","",IF(J17="NE","",(IFERROR(IF(ISNUMBER(J17),J17,VALUE(J17)),0)/2)*$F17*$F$13*20))</f>
        <v/>
      </c>
      <c r="L17" s="25">
        <f>IF(J17="","◄",IF(J17="NE","~",""))</f>
        <v/>
      </c>
      <c r="M17" s="23" t="n"/>
      <c r="N17" s="24">
        <f>IF(M17="","",IF(M17="NE","",(IFERROR(IF(ISNUMBER(M17),M17,VALUE(M17)),0)/2)*$F17*$F$13*20))</f>
        <v/>
      </c>
      <c r="O17" s="25">
        <f>IF(M17="","◄",IF(M17="NE","~",""))</f>
        <v/>
      </c>
      <c r="P17" s="23" t="n"/>
      <c r="Q17" s="24">
        <f>IF(P17="","",IF(P17="NE","",(IFERROR(IF(ISNUMBER(P17),P17,VALUE(P17)),0)/2)*$F17*$F$13*20))</f>
        <v/>
      </c>
      <c r="R17" s="25">
        <f>IF(P17="","◄",IF(P17="NE","~",""))</f>
        <v/>
      </c>
      <c r="S17" s="23" t="n"/>
      <c r="T17" s="24">
        <f>IF(S17="","",IF(S17="NE","",(IFERROR(IF(ISNUMBER(S17),S17,VALUE(S17)),0)/2)*$F17*$F$13*20))</f>
        <v/>
      </c>
      <c r="U17" s="25">
        <f>IF(S17="","◄",IF(S17="NE","~",""))</f>
        <v/>
      </c>
      <c r="V17" s="23" t="n"/>
      <c r="W17" s="24">
        <f>IF(V17="","",IF(V17="NE","",(IFERROR(IF(ISNUMBER(V17),V17,VALUE(V17)),0)/2)*$F17*$F$13*20))</f>
        <v/>
      </c>
      <c r="X17" s="25">
        <f>IF(V17="","◄",IF(V17="NE","~",""))</f>
        <v/>
      </c>
      <c r="Y17" s="23" t="n"/>
      <c r="Z17" s="24">
        <f>IF(Y17="","",IF(Y17="NE","",(IFERROR(IF(ISNUMBER(Y17),Y17,VALUE(Y17)),0)/2)*$F17*$F$13*20))</f>
        <v/>
      </c>
      <c r="AA17" s="25">
        <f>IF(Y17="","◄",IF(Y17="NE","~",""))</f>
        <v/>
      </c>
      <c r="AB17" s="23" t="n"/>
      <c r="AC17" s="24">
        <f>IF(AB17="","",IF(AB17="NE","",(IFERROR(IF(ISNUMBER(AB17),AB17,VALUE(AB17)),0)/2)*$F17*$F$13*20))</f>
        <v/>
      </c>
      <c r="AD17" s="25">
        <f>IF(AB17="","◄",IF(AB17="NE","~",""))</f>
        <v/>
      </c>
      <c r="AE17" s="23" t="n"/>
      <c r="AF17" s="24">
        <f>IF(AE17="","",IF(AE17="NE","",(IFERROR(IF(ISNUMBER(AE17),AE17,VALUE(AE17)),0)/2)*$F17*$F$13*20))</f>
        <v/>
      </c>
      <c r="AG17" s="25">
        <f>IF(AE17="","◄",IF(AE17="NE","~",""))</f>
        <v/>
      </c>
      <c r="AH17" s="23" t="n"/>
      <c r="AI17" s="24">
        <f>IF(AH17="","",IF(AH17="NE","",(IFERROR(IF(ISNUMBER(AH17),AH17,VALUE(AH17)),0)/2)*$F17*$F$13*20))</f>
        <v/>
      </c>
      <c r="AJ17" s="25">
        <f>IF(AH17="","◄",IF(AH17="NE","~",""))</f>
        <v/>
      </c>
      <c r="AK17" s="23" t="n"/>
      <c r="AL17" s="24">
        <f>IF(AK17="","",IF(AK17="NE","",(IFERROR(IF(ISNUMBER(AK17),AK17,VALUE(AK17)),0)/2)*$F17*$F$13*20))</f>
        <v/>
      </c>
      <c r="AM17" s="25">
        <f>IF(AK17="","◄",IF(AK17="NE","~",""))</f>
        <v/>
      </c>
      <c r="AN17" s="23" t="n"/>
      <c r="AO17" s="24">
        <f>IF(AN17="","",IF(AN17="NE","",(IFERROR(IF(ISNUMBER(AN17),AN17,VALUE(AN17)),0)/2)*$F17*$F$13*20))</f>
        <v/>
      </c>
      <c r="AP17" s="25">
        <f>IF(AN17="","◄",IF(AN17="NE","~",""))</f>
        <v/>
      </c>
      <c r="AQ17" s="23" t="n"/>
      <c r="AR17" s="24">
        <f>IF(AQ17="","",IF(AQ17="NE","",(IFERROR(IF(ISNUMBER(AQ17),AQ17,VALUE(AQ17)),0)/2)*$F17*$F$13*20))</f>
        <v/>
      </c>
      <c r="AS17" s="25">
        <f>IF(AQ17="","◄",IF(AQ17="NE","~",""))</f>
        <v/>
      </c>
      <c r="AT17" s="23" t="n"/>
      <c r="AU17" s="24">
        <f>IF(AT17="","",IF(AT17="NE","",(IFERROR(IF(ISNUMBER(AT17),AT17,VALUE(AT17)),0)/2)*$F17*$F$13*20))</f>
        <v/>
      </c>
      <c r="AV17" s="25">
        <f>IF(AT17="","◄",IF(AT17="NE","~",""))</f>
        <v/>
      </c>
      <c r="AW17" s="23" t="n"/>
      <c r="AX17" s="24">
        <f>IF(AW17="","",IF(AW17="NE","",(IFERROR(IF(ISNUMBER(AW17),AW17,VALUE(AW17)),0)/2)*$F17*$F$13*20))</f>
        <v/>
      </c>
      <c r="AY17" s="25">
        <f>IF(AW17="","◄",IF(AW17="NE","~",""))</f>
        <v/>
      </c>
      <c r="AZ17" s="23" t="n"/>
      <c r="BA17" s="24">
        <f>IF(AZ17="","",IF(AZ17="NE","",(IFERROR(IF(ISNUMBER(AZ17),AZ17,VALUE(AZ17)),0)/2)*$F17*$F$13*20))</f>
        <v/>
      </c>
      <c r="BB17" s="25">
        <f>IF(AZ17="","◄",IF(AZ17="NE","~",""))</f>
        <v/>
      </c>
      <c r="BC17" s="23" t="n"/>
      <c r="BD17" s="24">
        <f>IF(BC17="","",IF(BC17="NE","",(IFERROR(IF(ISNUMBER(BC17),BC17,VALUE(BC17)),0)/2)*$F17*$F$13*20))</f>
        <v/>
      </c>
      <c r="BE17" s="25">
        <f>IF(BC17="","◄",IF(BC17="NE","~",""))</f>
        <v/>
      </c>
      <c r="BF17" s="23" t="n"/>
      <c r="BG17" s="24">
        <f>IF(BF17="","",IF(BF17="NE","",(IFERROR(IF(ISNUMBER(BF17),BF17,VALUE(BF17)),0)/2)*$F17*$F$13*20))</f>
        <v/>
      </c>
      <c r="BH17" s="25">
        <f>IF(BF17="","◄",IF(BF17="NE","~",""))</f>
        <v/>
      </c>
      <c r="BI17" s="23" t="n"/>
      <c r="BJ17" s="24">
        <f>IF(BI17="","",IF(BI17="NE","",(IFERROR(IF(ISNUMBER(BI17),BI17,VALUE(BI17)),0)/2)*$F17*$F$13*20))</f>
        <v/>
      </c>
      <c r="BK17" s="25">
        <f>IF(BI17="","◄",IF(BI17="NE","~",""))</f>
        <v/>
      </c>
      <c r="BL17" s="23" t="n"/>
      <c r="BM17" s="24">
        <f>IF(BL17="","",IF(BL17="NE","",(IFERROR(IF(ISNUMBER(BL17),BL17,VALUE(BL17)),0)/2)*$F17*$F$13*20))</f>
        <v/>
      </c>
      <c r="BN17" s="25">
        <f>IF(BL17="","◄",IF(BL17="NE","~",""))</f>
        <v/>
      </c>
      <c r="BO17" s="23" t="n"/>
      <c r="BP17" s="24">
        <f>IF(BO17="","",IF(BO17="NE","",(IFERROR(IF(ISNUMBER(BO17),BO17,VALUE(BO17)),0)/2)*$F17*$F$13*20))</f>
        <v/>
      </c>
      <c r="BQ17" s="25">
        <f>IF(BO17="","◄",IF(BO17="NE","~",""))</f>
        <v/>
      </c>
      <c r="BR17" s="23" t="n"/>
      <c r="BS17" s="24">
        <f>IF(BR17="","",IF(BR17="NE","",(IFERROR(IF(ISNUMBER(BR17),BR17,VALUE(BR17)),0)/2)*$F17*$F$13*20))</f>
        <v/>
      </c>
      <c r="BT17" s="25">
        <f>IF(BR17="","◄",IF(BR17="NE","~",""))</f>
        <v/>
      </c>
      <c r="BU17" s="23" t="n"/>
      <c r="BV17" s="24">
        <f>IF(BU17="","",IF(BU17="NE","",(IFERROR(IF(ISNUMBER(BU17),BU17,VALUE(BU17)),0)/2)*$F17*$F$13*20))</f>
        <v/>
      </c>
      <c r="BW17" s="25">
        <f>IF(BU17="","◄",IF(BU17="NE","~",""))</f>
        <v/>
      </c>
      <c r="BX17" s="23" t="n"/>
      <c r="BY17" s="24">
        <f>IF(BX17="","",IF(BX17="NE","",(IFERROR(IF(ISNUMBER(BX17),BX17,VALUE(BX17)),0)/2)*$F17*$F$13*20))</f>
        <v/>
      </c>
      <c r="BZ17" s="25">
        <f>IF(BX17="","◄",IF(BX17="NE","~",""))</f>
        <v/>
      </c>
      <c r="CA17" s="23" t="n"/>
      <c r="CB17" s="24">
        <f>IF(CA17="","",IF(CA17="NE","",(IFERROR(IF(ISNUMBER(CA17),CA17,VALUE(CA17)),0)/2)*$F17*$F$13*20))</f>
        <v/>
      </c>
      <c r="CC17" s="25">
        <f>IF(CA17="","◄",IF(CA17="NE","~",""))</f>
        <v/>
      </c>
      <c r="CD17" s="23" t="n"/>
      <c r="CE17" s="24">
        <f>IF(CD17="","",IF(CD17="NE","",(IFERROR(IF(ISNUMBER(CD17),CD17,VALUE(CD17)),0)/2)*$F17*$F$13*20))</f>
        <v/>
      </c>
      <c r="CF17" s="25">
        <f>IF(CD17="","◄",IF(CD17="NE","~",""))</f>
        <v/>
      </c>
      <c r="CG17" s="23" t="n"/>
      <c r="CH17" s="24">
        <f>IF(CG17="","",IF(CG17="NE","",(IFERROR(IF(ISNUMBER(CG17),CG17,VALUE(CG17)),0)/2)*$F17*$F$13*20))</f>
        <v/>
      </c>
      <c r="CI17" s="25">
        <f>IF(CG17="","◄",IF(CG17="NE","~",""))</f>
        <v/>
      </c>
      <c r="CJ17" s="23" t="n"/>
      <c r="CK17" s="24">
        <f>IF(CJ17="","",IF(CJ17="NE","",(IFERROR(IF(ISNUMBER(CJ17),CJ17,VALUE(CJ17)),0)/2)*$F17*$F$13*20))</f>
        <v/>
      </c>
      <c r="CL17" s="25">
        <f>IF(CJ17="","◄",IF(CJ17="NE","~",""))</f>
        <v/>
      </c>
      <c r="CM17" s="23" t="n"/>
      <c r="CN17" s="24">
        <f>IF(CM17="","",IF(CM17="NE","",(IFERROR(IF(ISNUMBER(CM17),CM17,VALUE(CM17)),0)/2)*$F17*$F$13*20))</f>
        <v/>
      </c>
      <c r="CO17" s="25">
        <f>IF(CM17="","◄",IF(CM17="NE","~",""))</f>
        <v/>
      </c>
      <c r="CP17" s="23" t="n"/>
      <c r="CQ17" s="24">
        <f>IF(CP17="","",IF(CP17="NE","",(IFERROR(IF(ISNUMBER(CP17),CP17,VALUE(CP17)),0)/2)*$F17*$F$13*20))</f>
        <v/>
      </c>
      <c r="CR17" s="25">
        <f>IF(CP17="","◄",IF(CP17="NE","~",""))</f>
        <v/>
      </c>
    </row>
    <row r="18" ht="36" customHeight="1">
      <c r="A18" s="20" t="n">
        <v>12</v>
      </c>
      <c r="B18" s="20" t="inlineStr">
        <is>
          <t>P2</t>
        </is>
      </c>
      <c r="C18" s="20" t="inlineStr">
        <is>
          <t>Q2.3</t>
        </is>
      </c>
      <c r="D18" s="20" t="inlineStr">
        <is>
          <t>Critère</t>
        </is>
      </c>
      <c r="E18" s="21" t="inlineStr">
        <is>
          <t>Calcul : 5 296 000 × (−0,2) = −1 059 200 kgeq.CO₂/an.</t>
        </is>
      </c>
      <c r="F18" s="22" t="n">
        <v>0.1</v>
      </c>
      <c r="G18" s="23" t="n"/>
      <c r="H18" s="24">
        <f>IF(G18="","",IF(G18="NE","",(IFERROR(IF(ISNUMBER(G18),G18,VALUE(G18)),0)/2)*$F18*$F$13*20))</f>
        <v/>
      </c>
      <c r="I18" s="25">
        <f>IF(G18="","◄",IF(G18="NE","~",""))</f>
        <v/>
      </c>
      <c r="J18" s="23" t="n"/>
      <c r="K18" s="24">
        <f>IF(J18="","",IF(J18="NE","",(IFERROR(IF(ISNUMBER(J18),J18,VALUE(J18)),0)/2)*$F18*$F$13*20))</f>
        <v/>
      </c>
      <c r="L18" s="25">
        <f>IF(J18="","◄",IF(J18="NE","~",""))</f>
        <v/>
      </c>
      <c r="M18" s="23" t="n"/>
      <c r="N18" s="24">
        <f>IF(M18="","",IF(M18="NE","",(IFERROR(IF(ISNUMBER(M18),M18,VALUE(M18)),0)/2)*$F18*$F$13*20))</f>
        <v/>
      </c>
      <c r="O18" s="25">
        <f>IF(M18="","◄",IF(M18="NE","~",""))</f>
        <v/>
      </c>
      <c r="P18" s="23" t="n"/>
      <c r="Q18" s="24">
        <f>IF(P18="","",IF(P18="NE","",(IFERROR(IF(ISNUMBER(P18),P18,VALUE(P18)),0)/2)*$F18*$F$13*20))</f>
        <v/>
      </c>
      <c r="R18" s="25">
        <f>IF(P18="","◄",IF(P18="NE","~",""))</f>
        <v/>
      </c>
      <c r="S18" s="23" t="n"/>
      <c r="T18" s="24">
        <f>IF(S18="","",IF(S18="NE","",(IFERROR(IF(ISNUMBER(S18),S18,VALUE(S18)),0)/2)*$F18*$F$13*20))</f>
        <v/>
      </c>
      <c r="U18" s="25">
        <f>IF(S18="","◄",IF(S18="NE","~",""))</f>
        <v/>
      </c>
      <c r="V18" s="23" t="n"/>
      <c r="W18" s="24">
        <f>IF(V18="","",IF(V18="NE","",(IFERROR(IF(ISNUMBER(V18),V18,VALUE(V18)),0)/2)*$F18*$F$13*20))</f>
        <v/>
      </c>
      <c r="X18" s="25">
        <f>IF(V18="","◄",IF(V18="NE","~",""))</f>
        <v/>
      </c>
      <c r="Y18" s="23" t="n"/>
      <c r="Z18" s="24">
        <f>IF(Y18="","",IF(Y18="NE","",(IFERROR(IF(ISNUMBER(Y18),Y18,VALUE(Y18)),0)/2)*$F18*$F$13*20))</f>
        <v/>
      </c>
      <c r="AA18" s="25">
        <f>IF(Y18="","◄",IF(Y18="NE","~",""))</f>
        <v/>
      </c>
      <c r="AB18" s="23" t="n"/>
      <c r="AC18" s="24">
        <f>IF(AB18="","",IF(AB18="NE","",(IFERROR(IF(ISNUMBER(AB18),AB18,VALUE(AB18)),0)/2)*$F18*$F$13*20))</f>
        <v/>
      </c>
      <c r="AD18" s="25">
        <f>IF(AB18="","◄",IF(AB18="NE","~",""))</f>
        <v/>
      </c>
      <c r="AE18" s="23" t="n"/>
      <c r="AF18" s="24">
        <f>IF(AE18="","",IF(AE18="NE","",(IFERROR(IF(ISNUMBER(AE18),AE18,VALUE(AE18)),0)/2)*$F18*$F$13*20))</f>
        <v/>
      </c>
      <c r="AG18" s="25">
        <f>IF(AE18="","◄",IF(AE18="NE","~",""))</f>
        <v/>
      </c>
      <c r="AH18" s="23" t="n"/>
      <c r="AI18" s="24">
        <f>IF(AH18="","",IF(AH18="NE","",(IFERROR(IF(ISNUMBER(AH18),AH18,VALUE(AH18)),0)/2)*$F18*$F$13*20))</f>
        <v/>
      </c>
      <c r="AJ18" s="25">
        <f>IF(AH18="","◄",IF(AH18="NE","~",""))</f>
        <v/>
      </c>
      <c r="AK18" s="23" t="n"/>
      <c r="AL18" s="24">
        <f>IF(AK18="","",IF(AK18="NE","",(IFERROR(IF(ISNUMBER(AK18),AK18,VALUE(AK18)),0)/2)*$F18*$F$13*20))</f>
        <v/>
      </c>
      <c r="AM18" s="25">
        <f>IF(AK18="","◄",IF(AK18="NE","~",""))</f>
        <v/>
      </c>
      <c r="AN18" s="23" t="n"/>
      <c r="AO18" s="24">
        <f>IF(AN18="","",IF(AN18="NE","",(IFERROR(IF(ISNUMBER(AN18),AN18,VALUE(AN18)),0)/2)*$F18*$F$13*20))</f>
        <v/>
      </c>
      <c r="AP18" s="25">
        <f>IF(AN18="","◄",IF(AN18="NE","~",""))</f>
        <v/>
      </c>
      <c r="AQ18" s="23" t="n"/>
      <c r="AR18" s="24">
        <f>IF(AQ18="","",IF(AQ18="NE","",(IFERROR(IF(ISNUMBER(AQ18),AQ18,VALUE(AQ18)),0)/2)*$F18*$F$13*20))</f>
        <v/>
      </c>
      <c r="AS18" s="25">
        <f>IF(AQ18="","◄",IF(AQ18="NE","~",""))</f>
        <v/>
      </c>
      <c r="AT18" s="23" t="n"/>
      <c r="AU18" s="24">
        <f>IF(AT18="","",IF(AT18="NE","",(IFERROR(IF(ISNUMBER(AT18),AT18,VALUE(AT18)),0)/2)*$F18*$F$13*20))</f>
        <v/>
      </c>
      <c r="AV18" s="25">
        <f>IF(AT18="","◄",IF(AT18="NE","~",""))</f>
        <v/>
      </c>
      <c r="AW18" s="23" t="n"/>
      <c r="AX18" s="24">
        <f>IF(AW18="","",IF(AW18="NE","",(IFERROR(IF(ISNUMBER(AW18),AW18,VALUE(AW18)),0)/2)*$F18*$F$13*20))</f>
        <v/>
      </c>
      <c r="AY18" s="25">
        <f>IF(AW18="","◄",IF(AW18="NE","~",""))</f>
        <v/>
      </c>
      <c r="AZ18" s="23" t="n"/>
      <c r="BA18" s="24">
        <f>IF(AZ18="","",IF(AZ18="NE","",(IFERROR(IF(ISNUMBER(AZ18),AZ18,VALUE(AZ18)),0)/2)*$F18*$F$13*20))</f>
        <v/>
      </c>
      <c r="BB18" s="25">
        <f>IF(AZ18="","◄",IF(AZ18="NE","~",""))</f>
        <v/>
      </c>
      <c r="BC18" s="23" t="n"/>
      <c r="BD18" s="24">
        <f>IF(BC18="","",IF(BC18="NE","",(IFERROR(IF(ISNUMBER(BC18),BC18,VALUE(BC18)),0)/2)*$F18*$F$13*20))</f>
        <v/>
      </c>
      <c r="BE18" s="25">
        <f>IF(BC18="","◄",IF(BC18="NE","~",""))</f>
        <v/>
      </c>
      <c r="BF18" s="23" t="n"/>
      <c r="BG18" s="24">
        <f>IF(BF18="","",IF(BF18="NE","",(IFERROR(IF(ISNUMBER(BF18),BF18,VALUE(BF18)),0)/2)*$F18*$F$13*20))</f>
        <v/>
      </c>
      <c r="BH18" s="25">
        <f>IF(BF18="","◄",IF(BF18="NE","~",""))</f>
        <v/>
      </c>
      <c r="BI18" s="23" t="n"/>
      <c r="BJ18" s="24">
        <f>IF(BI18="","",IF(BI18="NE","",(IFERROR(IF(ISNUMBER(BI18),BI18,VALUE(BI18)),0)/2)*$F18*$F$13*20))</f>
        <v/>
      </c>
      <c r="BK18" s="25">
        <f>IF(BI18="","◄",IF(BI18="NE","~",""))</f>
        <v/>
      </c>
      <c r="BL18" s="23" t="n"/>
      <c r="BM18" s="24">
        <f>IF(BL18="","",IF(BL18="NE","",(IFERROR(IF(ISNUMBER(BL18),BL18,VALUE(BL18)),0)/2)*$F18*$F$13*20))</f>
        <v/>
      </c>
      <c r="BN18" s="25">
        <f>IF(BL18="","◄",IF(BL18="NE","~",""))</f>
        <v/>
      </c>
      <c r="BO18" s="23" t="n"/>
      <c r="BP18" s="24">
        <f>IF(BO18="","",IF(BO18="NE","",(IFERROR(IF(ISNUMBER(BO18),BO18,VALUE(BO18)),0)/2)*$F18*$F$13*20))</f>
        <v/>
      </c>
      <c r="BQ18" s="25">
        <f>IF(BO18="","◄",IF(BO18="NE","~",""))</f>
        <v/>
      </c>
      <c r="BR18" s="23" t="n"/>
      <c r="BS18" s="24">
        <f>IF(BR18="","",IF(BR18="NE","",(IFERROR(IF(ISNUMBER(BR18),BR18,VALUE(BR18)),0)/2)*$F18*$F$13*20))</f>
        <v/>
      </c>
      <c r="BT18" s="25">
        <f>IF(BR18="","◄",IF(BR18="NE","~",""))</f>
        <v/>
      </c>
      <c r="BU18" s="23" t="n"/>
      <c r="BV18" s="24">
        <f>IF(BU18="","",IF(BU18="NE","",(IFERROR(IF(ISNUMBER(BU18),BU18,VALUE(BU18)),0)/2)*$F18*$F$13*20))</f>
        <v/>
      </c>
      <c r="BW18" s="25">
        <f>IF(BU18="","◄",IF(BU18="NE","~",""))</f>
        <v/>
      </c>
      <c r="BX18" s="23" t="n"/>
      <c r="BY18" s="24">
        <f>IF(BX18="","",IF(BX18="NE","",(IFERROR(IF(ISNUMBER(BX18),BX18,VALUE(BX18)),0)/2)*$F18*$F$13*20))</f>
        <v/>
      </c>
      <c r="BZ18" s="25">
        <f>IF(BX18="","◄",IF(BX18="NE","~",""))</f>
        <v/>
      </c>
      <c r="CA18" s="23" t="n"/>
      <c r="CB18" s="24">
        <f>IF(CA18="","",IF(CA18="NE","",(IFERROR(IF(ISNUMBER(CA18),CA18,VALUE(CA18)),0)/2)*$F18*$F$13*20))</f>
        <v/>
      </c>
      <c r="CC18" s="25">
        <f>IF(CA18="","◄",IF(CA18="NE","~",""))</f>
        <v/>
      </c>
      <c r="CD18" s="23" t="n"/>
      <c r="CE18" s="24">
        <f>IF(CD18="","",IF(CD18="NE","",(IFERROR(IF(ISNUMBER(CD18),CD18,VALUE(CD18)),0)/2)*$F18*$F$13*20))</f>
        <v/>
      </c>
      <c r="CF18" s="25">
        <f>IF(CD18="","◄",IF(CD18="NE","~",""))</f>
        <v/>
      </c>
      <c r="CG18" s="23" t="n"/>
      <c r="CH18" s="24">
        <f>IF(CG18="","",IF(CG18="NE","",(IFERROR(IF(ISNUMBER(CG18),CG18,VALUE(CG18)),0)/2)*$F18*$F$13*20))</f>
        <v/>
      </c>
      <c r="CI18" s="25">
        <f>IF(CG18="","◄",IF(CG18="NE","~",""))</f>
        <v/>
      </c>
      <c r="CJ18" s="23" t="n"/>
      <c r="CK18" s="24">
        <f>IF(CJ18="","",IF(CJ18="NE","",(IFERROR(IF(ISNUMBER(CJ18),CJ18,VALUE(CJ18)),0)/2)*$F18*$F$13*20))</f>
        <v/>
      </c>
      <c r="CL18" s="25">
        <f>IF(CJ18="","◄",IF(CJ18="NE","~",""))</f>
        <v/>
      </c>
      <c r="CM18" s="23" t="n"/>
      <c r="CN18" s="24">
        <f>IF(CM18="","",IF(CM18="NE","",(IFERROR(IF(ISNUMBER(CM18),CM18,VALUE(CM18)),0)/2)*$F18*$F$13*20))</f>
        <v/>
      </c>
      <c r="CO18" s="25">
        <f>IF(CM18="","◄",IF(CM18="NE","~",""))</f>
        <v/>
      </c>
      <c r="CP18" s="23" t="n"/>
      <c r="CQ18" s="24">
        <f>IF(CP18="","",IF(CP18="NE","",(IFERROR(IF(ISNUMBER(CP18),CP18,VALUE(CP18)),0)/2)*$F18*$F$13*20))</f>
        <v/>
      </c>
      <c r="CR18" s="25">
        <f>IF(CP18="","◄",IF(CP18="NE","~",""))</f>
        <v/>
      </c>
    </row>
    <row r="19" ht="36" customHeight="1">
      <c r="A19" s="20" t="n">
        <v>13</v>
      </c>
      <c r="B19" s="20" t="inlineStr">
        <is>
          <t>P2</t>
        </is>
      </c>
      <c r="C19" s="20" t="inlineStr">
        <is>
          <t>Q2.3</t>
        </is>
      </c>
      <c r="D19" s="20" t="inlineStr">
        <is>
          <t>Critère</t>
        </is>
      </c>
      <c r="E19" s="21" t="inlineStr">
        <is>
          <t>Ligne (4) DR2 correctement complétée.</t>
        </is>
      </c>
      <c r="F19" s="22" t="n">
        <v>0.1</v>
      </c>
      <c r="G19" s="23" t="n"/>
      <c r="H19" s="24">
        <f>IF(G19="","",IF(G19="NE","",(IFERROR(IF(ISNUMBER(G19),G19,VALUE(G19)),0)/2)*$F19*$F$13*20))</f>
        <v/>
      </c>
      <c r="I19" s="25">
        <f>IF(G19="","◄",IF(G19="NE","~",""))</f>
        <v/>
      </c>
      <c r="J19" s="23" t="n"/>
      <c r="K19" s="24">
        <f>IF(J19="","",IF(J19="NE","",(IFERROR(IF(ISNUMBER(J19),J19,VALUE(J19)),0)/2)*$F19*$F$13*20))</f>
        <v/>
      </c>
      <c r="L19" s="25">
        <f>IF(J19="","◄",IF(J19="NE","~",""))</f>
        <v/>
      </c>
      <c r="M19" s="23" t="n"/>
      <c r="N19" s="24">
        <f>IF(M19="","",IF(M19="NE","",(IFERROR(IF(ISNUMBER(M19),M19,VALUE(M19)),0)/2)*$F19*$F$13*20))</f>
        <v/>
      </c>
      <c r="O19" s="25">
        <f>IF(M19="","◄",IF(M19="NE","~",""))</f>
        <v/>
      </c>
      <c r="P19" s="23" t="n"/>
      <c r="Q19" s="24">
        <f>IF(P19="","",IF(P19="NE","",(IFERROR(IF(ISNUMBER(P19),P19,VALUE(P19)),0)/2)*$F19*$F$13*20))</f>
        <v/>
      </c>
      <c r="R19" s="25">
        <f>IF(P19="","◄",IF(P19="NE","~",""))</f>
        <v/>
      </c>
      <c r="S19" s="23" t="n"/>
      <c r="T19" s="24">
        <f>IF(S19="","",IF(S19="NE","",(IFERROR(IF(ISNUMBER(S19),S19,VALUE(S19)),0)/2)*$F19*$F$13*20))</f>
        <v/>
      </c>
      <c r="U19" s="25">
        <f>IF(S19="","◄",IF(S19="NE","~",""))</f>
        <v/>
      </c>
      <c r="V19" s="23" t="n"/>
      <c r="W19" s="24">
        <f>IF(V19="","",IF(V19="NE","",(IFERROR(IF(ISNUMBER(V19),V19,VALUE(V19)),0)/2)*$F19*$F$13*20))</f>
        <v/>
      </c>
      <c r="X19" s="25">
        <f>IF(V19="","◄",IF(V19="NE","~",""))</f>
        <v/>
      </c>
      <c r="Y19" s="23" t="n"/>
      <c r="Z19" s="24">
        <f>IF(Y19="","",IF(Y19="NE","",(IFERROR(IF(ISNUMBER(Y19),Y19,VALUE(Y19)),0)/2)*$F19*$F$13*20))</f>
        <v/>
      </c>
      <c r="AA19" s="25">
        <f>IF(Y19="","◄",IF(Y19="NE","~",""))</f>
        <v/>
      </c>
      <c r="AB19" s="23" t="n"/>
      <c r="AC19" s="24">
        <f>IF(AB19="","",IF(AB19="NE","",(IFERROR(IF(ISNUMBER(AB19),AB19,VALUE(AB19)),0)/2)*$F19*$F$13*20))</f>
        <v/>
      </c>
      <c r="AD19" s="25">
        <f>IF(AB19="","◄",IF(AB19="NE","~",""))</f>
        <v/>
      </c>
      <c r="AE19" s="23" t="n"/>
      <c r="AF19" s="24">
        <f>IF(AE19="","",IF(AE19="NE","",(IFERROR(IF(ISNUMBER(AE19),AE19,VALUE(AE19)),0)/2)*$F19*$F$13*20))</f>
        <v/>
      </c>
      <c r="AG19" s="25">
        <f>IF(AE19="","◄",IF(AE19="NE","~",""))</f>
        <v/>
      </c>
      <c r="AH19" s="23" t="n"/>
      <c r="AI19" s="24">
        <f>IF(AH19="","",IF(AH19="NE","",(IFERROR(IF(ISNUMBER(AH19),AH19,VALUE(AH19)),0)/2)*$F19*$F$13*20))</f>
        <v/>
      </c>
      <c r="AJ19" s="25">
        <f>IF(AH19="","◄",IF(AH19="NE","~",""))</f>
        <v/>
      </c>
      <c r="AK19" s="23" t="n"/>
      <c r="AL19" s="24">
        <f>IF(AK19="","",IF(AK19="NE","",(IFERROR(IF(ISNUMBER(AK19),AK19,VALUE(AK19)),0)/2)*$F19*$F$13*20))</f>
        <v/>
      </c>
      <c r="AM19" s="25">
        <f>IF(AK19="","◄",IF(AK19="NE","~",""))</f>
        <v/>
      </c>
      <c r="AN19" s="23" t="n"/>
      <c r="AO19" s="24">
        <f>IF(AN19="","",IF(AN19="NE","",(IFERROR(IF(ISNUMBER(AN19),AN19,VALUE(AN19)),0)/2)*$F19*$F$13*20))</f>
        <v/>
      </c>
      <c r="AP19" s="25">
        <f>IF(AN19="","◄",IF(AN19="NE","~",""))</f>
        <v/>
      </c>
      <c r="AQ19" s="23" t="n"/>
      <c r="AR19" s="24">
        <f>IF(AQ19="","",IF(AQ19="NE","",(IFERROR(IF(ISNUMBER(AQ19),AQ19,VALUE(AQ19)),0)/2)*$F19*$F$13*20))</f>
        <v/>
      </c>
      <c r="AS19" s="25">
        <f>IF(AQ19="","◄",IF(AQ19="NE","~",""))</f>
        <v/>
      </c>
      <c r="AT19" s="23" t="n"/>
      <c r="AU19" s="24">
        <f>IF(AT19="","",IF(AT19="NE","",(IFERROR(IF(ISNUMBER(AT19),AT19,VALUE(AT19)),0)/2)*$F19*$F$13*20))</f>
        <v/>
      </c>
      <c r="AV19" s="25">
        <f>IF(AT19="","◄",IF(AT19="NE","~",""))</f>
        <v/>
      </c>
      <c r="AW19" s="23" t="n"/>
      <c r="AX19" s="24">
        <f>IF(AW19="","",IF(AW19="NE","",(IFERROR(IF(ISNUMBER(AW19),AW19,VALUE(AW19)),0)/2)*$F19*$F$13*20))</f>
        <v/>
      </c>
      <c r="AY19" s="25">
        <f>IF(AW19="","◄",IF(AW19="NE","~",""))</f>
        <v/>
      </c>
      <c r="AZ19" s="23" t="n"/>
      <c r="BA19" s="24">
        <f>IF(AZ19="","",IF(AZ19="NE","",(IFERROR(IF(ISNUMBER(AZ19),AZ19,VALUE(AZ19)),0)/2)*$F19*$F$13*20))</f>
        <v/>
      </c>
      <c r="BB19" s="25">
        <f>IF(AZ19="","◄",IF(AZ19="NE","~",""))</f>
        <v/>
      </c>
      <c r="BC19" s="23" t="n"/>
      <c r="BD19" s="24">
        <f>IF(BC19="","",IF(BC19="NE","",(IFERROR(IF(ISNUMBER(BC19),BC19,VALUE(BC19)),0)/2)*$F19*$F$13*20))</f>
        <v/>
      </c>
      <c r="BE19" s="25">
        <f>IF(BC19="","◄",IF(BC19="NE","~",""))</f>
        <v/>
      </c>
      <c r="BF19" s="23" t="n"/>
      <c r="BG19" s="24">
        <f>IF(BF19="","",IF(BF19="NE","",(IFERROR(IF(ISNUMBER(BF19),BF19,VALUE(BF19)),0)/2)*$F19*$F$13*20))</f>
        <v/>
      </c>
      <c r="BH19" s="25">
        <f>IF(BF19="","◄",IF(BF19="NE","~",""))</f>
        <v/>
      </c>
      <c r="BI19" s="23" t="n"/>
      <c r="BJ19" s="24">
        <f>IF(BI19="","",IF(BI19="NE","",(IFERROR(IF(ISNUMBER(BI19),BI19,VALUE(BI19)),0)/2)*$F19*$F$13*20))</f>
        <v/>
      </c>
      <c r="BK19" s="25">
        <f>IF(BI19="","◄",IF(BI19="NE","~",""))</f>
        <v/>
      </c>
      <c r="BL19" s="23" t="n"/>
      <c r="BM19" s="24">
        <f>IF(BL19="","",IF(BL19="NE","",(IFERROR(IF(ISNUMBER(BL19),BL19,VALUE(BL19)),0)/2)*$F19*$F$13*20))</f>
        <v/>
      </c>
      <c r="BN19" s="25">
        <f>IF(BL19="","◄",IF(BL19="NE","~",""))</f>
        <v/>
      </c>
      <c r="BO19" s="23" t="n"/>
      <c r="BP19" s="24">
        <f>IF(BO19="","",IF(BO19="NE","",(IFERROR(IF(ISNUMBER(BO19),BO19,VALUE(BO19)),0)/2)*$F19*$F$13*20))</f>
        <v/>
      </c>
      <c r="BQ19" s="25">
        <f>IF(BO19="","◄",IF(BO19="NE","~",""))</f>
        <v/>
      </c>
      <c r="BR19" s="23" t="n"/>
      <c r="BS19" s="24">
        <f>IF(BR19="","",IF(BR19="NE","",(IFERROR(IF(ISNUMBER(BR19),BR19,VALUE(BR19)),0)/2)*$F19*$F$13*20))</f>
        <v/>
      </c>
      <c r="BT19" s="25">
        <f>IF(BR19="","◄",IF(BR19="NE","~",""))</f>
        <v/>
      </c>
      <c r="BU19" s="23" t="n"/>
      <c r="BV19" s="24">
        <f>IF(BU19="","",IF(BU19="NE","",(IFERROR(IF(ISNUMBER(BU19),BU19,VALUE(BU19)),0)/2)*$F19*$F$13*20))</f>
        <v/>
      </c>
      <c r="BW19" s="25">
        <f>IF(BU19="","◄",IF(BU19="NE","~",""))</f>
        <v/>
      </c>
      <c r="BX19" s="23" t="n"/>
      <c r="BY19" s="24">
        <f>IF(BX19="","",IF(BX19="NE","",(IFERROR(IF(ISNUMBER(BX19),BX19,VALUE(BX19)),0)/2)*$F19*$F$13*20))</f>
        <v/>
      </c>
      <c r="BZ19" s="25">
        <f>IF(BX19="","◄",IF(BX19="NE","~",""))</f>
        <v/>
      </c>
      <c r="CA19" s="23" t="n"/>
      <c r="CB19" s="24">
        <f>IF(CA19="","",IF(CA19="NE","",(IFERROR(IF(ISNUMBER(CA19),CA19,VALUE(CA19)),0)/2)*$F19*$F$13*20))</f>
        <v/>
      </c>
      <c r="CC19" s="25">
        <f>IF(CA19="","◄",IF(CA19="NE","~",""))</f>
        <v/>
      </c>
      <c r="CD19" s="23" t="n"/>
      <c r="CE19" s="24">
        <f>IF(CD19="","",IF(CD19="NE","",(IFERROR(IF(ISNUMBER(CD19),CD19,VALUE(CD19)),0)/2)*$F19*$F$13*20))</f>
        <v/>
      </c>
      <c r="CF19" s="25">
        <f>IF(CD19="","◄",IF(CD19="NE","~",""))</f>
        <v/>
      </c>
      <c r="CG19" s="23" t="n"/>
      <c r="CH19" s="24">
        <f>IF(CG19="","",IF(CG19="NE","",(IFERROR(IF(ISNUMBER(CG19),CG19,VALUE(CG19)),0)/2)*$F19*$F$13*20))</f>
        <v/>
      </c>
      <c r="CI19" s="25">
        <f>IF(CG19="","◄",IF(CG19="NE","~",""))</f>
        <v/>
      </c>
      <c r="CJ19" s="23" t="n"/>
      <c r="CK19" s="24">
        <f>IF(CJ19="","",IF(CJ19="NE","",(IFERROR(IF(ISNUMBER(CJ19),CJ19,VALUE(CJ19)),0)/2)*$F19*$F$13*20))</f>
        <v/>
      </c>
      <c r="CL19" s="25">
        <f>IF(CJ19="","◄",IF(CJ19="NE","~",""))</f>
        <v/>
      </c>
      <c r="CM19" s="23" t="n"/>
      <c r="CN19" s="24">
        <f>IF(CM19="","",IF(CM19="NE","",(IFERROR(IF(ISNUMBER(CM19),CM19,VALUE(CM19)),0)/2)*$F19*$F$13*20))</f>
        <v/>
      </c>
      <c r="CO19" s="25">
        <f>IF(CM19="","◄",IF(CM19="NE","~",""))</f>
        <v/>
      </c>
      <c r="CP19" s="23" t="n"/>
      <c r="CQ19" s="24">
        <f>IF(CP19="","",IF(CP19="NE","",(IFERROR(IF(ISNUMBER(CP19),CP19,VALUE(CP19)),0)/2)*$F19*$F$13*20))</f>
        <v/>
      </c>
      <c r="CR19" s="25">
        <f>IF(CP19="","◄",IF(CP19="NE","~",""))</f>
        <v/>
      </c>
    </row>
    <row r="20" ht="36" customHeight="1">
      <c r="A20" s="20" t="n">
        <v>14</v>
      </c>
      <c r="B20" s="20" t="inlineStr">
        <is>
          <t>P2</t>
        </is>
      </c>
      <c r="C20" s="20" t="inlineStr">
        <is>
          <t>Q2.4</t>
        </is>
      </c>
      <c r="D20" s="20" t="inlineStr">
        <is>
          <t>Critère</t>
        </is>
      </c>
      <c r="E20" s="21" t="inlineStr">
        <is>
          <t>Totaux correctement calculés (DR2).</t>
        </is>
      </c>
      <c r="F20" s="22" t="n">
        <v>0.1</v>
      </c>
      <c r="G20" s="23" t="n"/>
      <c r="H20" s="24">
        <f>IF(G20="","",IF(G20="NE","",(IFERROR(IF(ISNUMBER(G20),G20,VALUE(G20)),0)/2)*$F20*$F$13*20))</f>
        <v/>
      </c>
      <c r="I20" s="25">
        <f>IF(G20="","◄",IF(G20="NE","~",""))</f>
        <v/>
      </c>
      <c r="J20" s="23" t="n"/>
      <c r="K20" s="24">
        <f>IF(J20="","",IF(J20="NE","",(IFERROR(IF(ISNUMBER(J20),J20,VALUE(J20)),0)/2)*$F20*$F$13*20))</f>
        <v/>
      </c>
      <c r="L20" s="25">
        <f>IF(J20="","◄",IF(J20="NE","~",""))</f>
        <v/>
      </c>
      <c r="M20" s="23" t="n"/>
      <c r="N20" s="24">
        <f>IF(M20="","",IF(M20="NE","",(IFERROR(IF(ISNUMBER(M20),M20,VALUE(M20)),0)/2)*$F20*$F$13*20))</f>
        <v/>
      </c>
      <c r="O20" s="25">
        <f>IF(M20="","◄",IF(M20="NE","~",""))</f>
        <v/>
      </c>
      <c r="P20" s="23" t="n"/>
      <c r="Q20" s="24">
        <f>IF(P20="","",IF(P20="NE","",(IFERROR(IF(ISNUMBER(P20),P20,VALUE(P20)),0)/2)*$F20*$F$13*20))</f>
        <v/>
      </c>
      <c r="R20" s="25">
        <f>IF(P20="","◄",IF(P20="NE","~",""))</f>
        <v/>
      </c>
      <c r="S20" s="23" t="n"/>
      <c r="T20" s="24">
        <f>IF(S20="","",IF(S20="NE","",(IFERROR(IF(ISNUMBER(S20),S20,VALUE(S20)),0)/2)*$F20*$F$13*20))</f>
        <v/>
      </c>
      <c r="U20" s="25">
        <f>IF(S20="","◄",IF(S20="NE","~",""))</f>
        <v/>
      </c>
      <c r="V20" s="23" t="n"/>
      <c r="W20" s="24">
        <f>IF(V20="","",IF(V20="NE","",(IFERROR(IF(ISNUMBER(V20),V20,VALUE(V20)),0)/2)*$F20*$F$13*20))</f>
        <v/>
      </c>
      <c r="X20" s="25">
        <f>IF(V20="","◄",IF(V20="NE","~",""))</f>
        <v/>
      </c>
      <c r="Y20" s="23" t="n"/>
      <c r="Z20" s="24">
        <f>IF(Y20="","",IF(Y20="NE","",(IFERROR(IF(ISNUMBER(Y20),Y20,VALUE(Y20)),0)/2)*$F20*$F$13*20))</f>
        <v/>
      </c>
      <c r="AA20" s="25">
        <f>IF(Y20="","◄",IF(Y20="NE","~",""))</f>
        <v/>
      </c>
      <c r="AB20" s="23" t="n"/>
      <c r="AC20" s="24">
        <f>IF(AB20="","",IF(AB20="NE","",(IFERROR(IF(ISNUMBER(AB20),AB20,VALUE(AB20)),0)/2)*$F20*$F$13*20))</f>
        <v/>
      </c>
      <c r="AD20" s="25">
        <f>IF(AB20="","◄",IF(AB20="NE","~",""))</f>
        <v/>
      </c>
      <c r="AE20" s="23" t="n"/>
      <c r="AF20" s="24">
        <f>IF(AE20="","",IF(AE20="NE","",(IFERROR(IF(ISNUMBER(AE20),AE20,VALUE(AE20)),0)/2)*$F20*$F$13*20))</f>
        <v/>
      </c>
      <c r="AG20" s="25">
        <f>IF(AE20="","◄",IF(AE20="NE","~",""))</f>
        <v/>
      </c>
      <c r="AH20" s="23" t="n"/>
      <c r="AI20" s="24">
        <f>IF(AH20="","",IF(AH20="NE","",(IFERROR(IF(ISNUMBER(AH20),AH20,VALUE(AH20)),0)/2)*$F20*$F$13*20))</f>
        <v/>
      </c>
      <c r="AJ20" s="25">
        <f>IF(AH20="","◄",IF(AH20="NE","~",""))</f>
        <v/>
      </c>
      <c r="AK20" s="23" t="n"/>
      <c r="AL20" s="24">
        <f>IF(AK20="","",IF(AK20="NE","",(IFERROR(IF(ISNUMBER(AK20),AK20,VALUE(AK20)),0)/2)*$F20*$F$13*20))</f>
        <v/>
      </c>
      <c r="AM20" s="25">
        <f>IF(AK20="","◄",IF(AK20="NE","~",""))</f>
        <v/>
      </c>
      <c r="AN20" s="23" t="n"/>
      <c r="AO20" s="24">
        <f>IF(AN20="","",IF(AN20="NE","",(IFERROR(IF(ISNUMBER(AN20),AN20,VALUE(AN20)),0)/2)*$F20*$F$13*20))</f>
        <v/>
      </c>
      <c r="AP20" s="25">
        <f>IF(AN20="","◄",IF(AN20="NE","~",""))</f>
        <v/>
      </c>
      <c r="AQ20" s="23" t="n"/>
      <c r="AR20" s="24">
        <f>IF(AQ20="","",IF(AQ20="NE","",(IFERROR(IF(ISNUMBER(AQ20),AQ20,VALUE(AQ20)),0)/2)*$F20*$F$13*20))</f>
        <v/>
      </c>
      <c r="AS20" s="25">
        <f>IF(AQ20="","◄",IF(AQ20="NE","~",""))</f>
        <v/>
      </c>
      <c r="AT20" s="23" t="n"/>
      <c r="AU20" s="24">
        <f>IF(AT20="","",IF(AT20="NE","",(IFERROR(IF(ISNUMBER(AT20),AT20,VALUE(AT20)),0)/2)*$F20*$F$13*20))</f>
        <v/>
      </c>
      <c r="AV20" s="25">
        <f>IF(AT20="","◄",IF(AT20="NE","~",""))</f>
        <v/>
      </c>
      <c r="AW20" s="23" t="n"/>
      <c r="AX20" s="24">
        <f>IF(AW20="","",IF(AW20="NE","",(IFERROR(IF(ISNUMBER(AW20),AW20,VALUE(AW20)),0)/2)*$F20*$F$13*20))</f>
        <v/>
      </c>
      <c r="AY20" s="25">
        <f>IF(AW20="","◄",IF(AW20="NE","~",""))</f>
        <v/>
      </c>
      <c r="AZ20" s="23" t="n"/>
      <c r="BA20" s="24">
        <f>IF(AZ20="","",IF(AZ20="NE","",(IFERROR(IF(ISNUMBER(AZ20),AZ20,VALUE(AZ20)),0)/2)*$F20*$F$13*20))</f>
        <v/>
      </c>
      <c r="BB20" s="25">
        <f>IF(AZ20="","◄",IF(AZ20="NE","~",""))</f>
        <v/>
      </c>
      <c r="BC20" s="23" t="n"/>
      <c r="BD20" s="24">
        <f>IF(BC20="","",IF(BC20="NE","",(IFERROR(IF(ISNUMBER(BC20),BC20,VALUE(BC20)),0)/2)*$F20*$F$13*20))</f>
        <v/>
      </c>
      <c r="BE20" s="25">
        <f>IF(BC20="","◄",IF(BC20="NE","~",""))</f>
        <v/>
      </c>
      <c r="BF20" s="23" t="n"/>
      <c r="BG20" s="24">
        <f>IF(BF20="","",IF(BF20="NE","",(IFERROR(IF(ISNUMBER(BF20),BF20,VALUE(BF20)),0)/2)*$F20*$F$13*20))</f>
        <v/>
      </c>
      <c r="BH20" s="25">
        <f>IF(BF20="","◄",IF(BF20="NE","~",""))</f>
        <v/>
      </c>
      <c r="BI20" s="23" t="n"/>
      <c r="BJ20" s="24">
        <f>IF(BI20="","",IF(BI20="NE","",(IFERROR(IF(ISNUMBER(BI20),BI20,VALUE(BI20)),0)/2)*$F20*$F$13*20))</f>
        <v/>
      </c>
      <c r="BK20" s="25">
        <f>IF(BI20="","◄",IF(BI20="NE","~",""))</f>
        <v/>
      </c>
      <c r="BL20" s="23" t="n"/>
      <c r="BM20" s="24">
        <f>IF(BL20="","",IF(BL20="NE","",(IFERROR(IF(ISNUMBER(BL20),BL20,VALUE(BL20)),0)/2)*$F20*$F$13*20))</f>
        <v/>
      </c>
      <c r="BN20" s="25">
        <f>IF(BL20="","◄",IF(BL20="NE","~",""))</f>
        <v/>
      </c>
      <c r="BO20" s="23" t="n"/>
      <c r="BP20" s="24">
        <f>IF(BO20="","",IF(BO20="NE","",(IFERROR(IF(ISNUMBER(BO20),BO20,VALUE(BO20)),0)/2)*$F20*$F$13*20))</f>
        <v/>
      </c>
      <c r="BQ20" s="25">
        <f>IF(BO20="","◄",IF(BO20="NE","~",""))</f>
        <v/>
      </c>
      <c r="BR20" s="23" t="n"/>
      <c r="BS20" s="24">
        <f>IF(BR20="","",IF(BR20="NE","",(IFERROR(IF(ISNUMBER(BR20),BR20,VALUE(BR20)),0)/2)*$F20*$F$13*20))</f>
        <v/>
      </c>
      <c r="BT20" s="25">
        <f>IF(BR20="","◄",IF(BR20="NE","~",""))</f>
        <v/>
      </c>
      <c r="BU20" s="23" t="n"/>
      <c r="BV20" s="24">
        <f>IF(BU20="","",IF(BU20="NE","",(IFERROR(IF(ISNUMBER(BU20),BU20,VALUE(BU20)),0)/2)*$F20*$F$13*20))</f>
        <v/>
      </c>
      <c r="BW20" s="25">
        <f>IF(BU20="","◄",IF(BU20="NE","~",""))</f>
        <v/>
      </c>
      <c r="BX20" s="23" t="n"/>
      <c r="BY20" s="24">
        <f>IF(BX20="","",IF(BX20="NE","",(IFERROR(IF(ISNUMBER(BX20),BX20,VALUE(BX20)),0)/2)*$F20*$F$13*20))</f>
        <v/>
      </c>
      <c r="BZ20" s="25">
        <f>IF(BX20="","◄",IF(BX20="NE","~",""))</f>
        <v/>
      </c>
      <c r="CA20" s="23" t="n"/>
      <c r="CB20" s="24">
        <f>IF(CA20="","",IF(CA20="NE","",(IFERROR(IF(ISNUMBER(CA20),CA20,VALUE(CA20)),0)/2)*$F20*$F$13*20))</f>
        <v/>
      </c>
      <c r="CC20" s="25">
        <f>IF(CA20="","◄",IF(CA20="NE","~",""))</f>
        <v/>
      </c>
      <c r="CD20" s="23" t="n"/>
      <c r="CE20" s="24">
        <f>IF(CD20="","",IF(CD20="NE","",(IFERROR(IF(ISNUMBER(CD20),CD20,VALUE(CD20)),0)/2)*$F20*$F$13*20))</f>
        <v/>
      </c>
      <c r="CF20" s="25">
        <f>IF(CD20="","◄",IF(CD20="NE","~",""))</f>
        <v/>
      </c>
      <c r="CG20" s="23" t="n"/>
      <c r="CH20" s="24">
        <f>IF(CG20="","",IF(CG20="NE","",(IFERROR(IF(ISNUMBER(CG20),CG20,VALUE(CG20)),0)/2)*$F20*$F$13*20))</f>
        <v/>
      </c>
      <c r="CI20" s="25">
        <f>IF(CG20="","◄",IF(CG20="NE","~",""))</f>
        <v/>
      </c>
      <c r="CJ20" s="23" t="n"/>
      <c r="CK20" s="24">
        <f>IF(CJ20="","",IF(CJ20="NE","",(IFERROR(IF(ISNUMBER(CJ20),CJ20,VALUE(CJ20)),0)/2)*$F20*$F$13*20))</f>
        <v/>
      </c>
      <c r="CL20" s="25">
        <f>IF(CJ20="","◄",IF(CJ20="NE","~",""))</f>
        <v/>
      </c>
      <c r="CM20" s="23" t="n"/>
      <c r="CN20" s="24">
        <f>IF(CM20="","",IF(CM20="NE","",(IFERROR(IF(ISNUMBER(CM20),CM20,VALUE(CM20)),0)/2)*$F20*$F$13*20))</f>
        <v/>
      </c>
      <c r="CO20" s="25">
        <f>IF(CM20="","◄",IF(CM20="NE","~",""))</f>
        <v/>
      </c>
      <c r="CP20" s="23" t="n"/>
      <c r="CQ20" s="24">
        <f>IF(CP20="","",IF(CP20="NE","",(IFERROR(IF(ISNUMBER(CP20),CP20,VALUE(CP20)),0)/2)*$F20*$F$13*20))</f>
        <v/>
      </c>
      <c r="CR20" s="25">
        <f>IF(CP20="","◄",IF(CP20="NE","~",""))</f>
        <v/>
      </c>
    </row>
    <row r="21" ht="36" customHeight="1">
      <c r="A21" s="20" t="n">
        <v>15</v>
      </c>
      <c r="B21" s="20" t="inlineStr">
        <is>
          <t>P2</t>
        </is>
      </c>
      <c r="C21" s="20" t="inlineStr">
        <is>
          <t>Q2.4</t>
        </is>
      </c>
      <c r="D21" s="20" t="inlineStr">
        <is>
          <t>Critère</t>
        </is>
      </c>
      <c r="E21" s="21" t="inlineStr">
        <is>
          <t>Conclusion DD : économique (biogaz, valorisation combustible), environnemental (réduction GES), sociétal (nuisances olfactives).</t>
        </is>
      </c>
      <c r="F21" s="22" t="n">
        <v>0.3</v>
      </c>
      <c r="G21" s="23" t="n"/>
      <c r="H21" s="24">
        <f>IF(G21="","",IF(G21="NE","",(IFERROR(IF(ISNUMBER(G21),G21,VALUE(G21)),0)/2)*$F21*$F$13*20))</f>
        <v/>
      </c>
      <c r="I21" s="25">
        <f>IF(G21="","◄",IF(G21="NE","~",""))</f>
        <v/>
      </c>
      <c r="J21" s="23" t="n"/>
      <c r="K21" s="24">
        <f>IF(J21="","",IF(J21="NE","",(IFERROR(IF(ISNUMBER(J21),J21,VALUE(J21)),0)/2)*$F21*$F$13*20))</f>
        <v/>
      </c>
      <c r="L21" s="25">
        <f>IF(J21="","◄",IF(J21="NE","~",""))</f>
        <v/>
      </c>
      <c r="M21" s="23" t="n"/>
      <c r="N21" s="24">
        <f>IF(M21="","",IF(M21="NE","",(IFERROR(IF(ISNUMBER(M21),M21,VALUE(M21)),0)/2)*$F21*$F$13*20))</f>
        <v/>
      </c>
      <c r="O21" s="25">
        <f>IF(M21="","◄",IF(M21="NE","~",""))</f>
        <v/>
      </c>
      <c r="P21" s="23" t="n"/>
      <c r="Q21" s="24">
        <f>IF(P21="","",IF(P21="NE","",(IFERROR(IF(ISNUMBER(P21),P21,VALUE(P21)),0)/2)*$F21*$F$13*20))</f>
        <v/>
      </c>
      <c r="R21" s="25">
        <f>IF(P21="","◄",IF(P21="NE","~",""))</f>
        <v/>
      </c>
      <c r="S21" s="23" t="n"/>
      <c r="T21" s="24">
        <f>IF(S21="","",IF(S21="NE","",(IFERROR(IF(ISNUMBER(S21),S21,VALUE(S21)),0)/2)*$F21*$F$13*20))</f>
        <v/>
      </c>
      <c r="U21" s="25">
        <f>IF(S21="","◄",IF(S21="NE","~",""))</f>
        <v/>
      </c>
      <c r="V21" s="23" t="n"/>
      <c r="W21" s="24">
        <f>IF(V21="","",IF(V21="NE","",(IFERROR(IF(ISNUMBER(V21),V21,VALUE(V21)),0)/2)*$F21*$F$13*20))</f>
        <v/>
      </c>
      <c r="X21" s="25">
        <f>IF(V21="","◄",IF(V21="NE","~",""))</f>
        <v/>
      </c>
      <c r="Y21" s="23" t="n"/>
      <c r="Z21" s="24">
        <f>IF(Y21="","",IF(Y21="NE","",(IFERROR(IF(ISNUMBER(Y21),Y21,VALUE(Y21)),0)/2)*$F21*$F$13*20))</f>
        <v/>
      </c>
      <c r="AA21" s="25">
        <f>IF(Y21="","◄",IF(Y21="NE","~",""))</f>
        <v/>
      </c>
      <c r="AB21" s="23" t="n"/>
      <c r="AC21" s="24">
        <f>IF(AB21="","",IF(AB21="NE","",(IFERROR(IF(ISNUMBER(AB21),AB21,VALUE(AB21)),0)/2)*$F21*$F$13*20))</f>
        <v/>
      </c>
      <c r="AD21" s="25">
        <f>IF(AB21="","◄",IF(AB21="NE","~",""))</f>
        <v/>
      </c>
      <c r="AE21" s="23" t="n"/>
      <c r="AF21" s="24">
        <f>IF(AE21="","",IF(AE21="NE","",(IFERROR(IF(ISNUMBER(AE21),AE21,VALUE(AE21)),0)/2)*$F21*$F$13*20))</f>
        <v/>
      </c>
      <c r="AG21" s="25">
        <f>IF(AE21="","◄",IF(AE21="NE","~",""))</f>
        <v/>
      </c>
      <c r="AH21" s="23" t="n"/>
      <c r="AI21" s="24">
        <f>IF(AH21="","",IF(AH21="NE","",(IFERROR(IF(ISNUMBER(AH21),AH21,VALUE(AH21)),0)/2)*$F21*$F$13*20))</f>
        <v/>
      </c>
      <c r="AJ21" s="25">
        <f>IF(AH21="","◄",IF(AH21="NE","~",""))</f>
        <v/>
      </c>
      <c r="AK21" s="23" t="n"/>
      <c r="AL21" s="24">
        <f>IF(AK21="","",IF(AK21="NE","",(IFERROR(IF(ISNUMBER(AK21),AK21,VALUE(AK21)),0)/2)*$F21*$F$13*20))</f>
        <v/>
      </c>
      <c r="AM21" s="25">
        <f>IF(AK21="","◄",IF(AK21="NE","~",""))</f>
        <v/>
      </c>
      <c r="AN21" s="23" t="n"/>
      <c r="AO21" s="24">
        <f>IF(AN21="","",IF(AN21="NE","",(IFERROR(IF(ISNUMBER(AN21),AN21,VALUE(AN21)),0)/2)*$F21*$F$13*20))</f>
        <v/>
      </c>
      <c r="AP21" s="25">
        <f>IF(AN21="","◄",IF(AN21="NE","~",""))</f>
        <v/>
      </c>
      <c r="AQ21" s="23" t="n"/>
      <c r="AR21" s="24">
        <f>IF(AQ21="","",IF(AQ21="NE","",(IFERROR(IF(ISNUMBER(AQ21),AQ21,VALUE(AQ21)),0)/2)*$F21*$F$13*20))</f>
        <v/>
      </c>
      <c r="AS21" s="25">
        <f>IF(AQ21="","◄",IF(AQ21="NE","~",""))</f>
        <v/>
      </c>
      <c r="AT21" s="23" t="n"/>
      <c r="AU21" s="24">
        <f>IF(AT21="","",IF(AT21="NE","",(IFERROR(IF(ISNUMBER(AT21),AT21,VALUE(AT21)),0)/2)*$F21*$F$13*20))</f>
        <v/>
      </c>
      <c r="AV21" s="25">
        <f>IF(AT21="","◄",IF(AT21="NE","~",""))</f>
        <v/>
      </c>
      <c r="AW21" s="23" t="n"/>
      <c r="AX21" s="24">
        <f>IF(AW21="","",IF(AW21="NE","",(IFERROR(IF(ISNUMBER(AW21),AW21,VALUE(AW21)),0)/2)*$F21*$F$13*20))</f>
        <v/>
      </c>
      <c r="AY21" s="25">
        <f>IF(AW21="","◄",IF(AW21="NE","~",""))</f>
        <v/>
      </c>
      <c r="AZ21" s="23" t="n"/>
      <c r="BA21" s="24">
        <f>IF(AZ21="","",IF(AZ21="NE","",(IFERROR(IF(ISNUMBER(AZ21),AZ21,VALUE(AZ21)),0)/2)*$F21*$F$13*20))</f>
        <v/>
      </c>
      <c r="BB21" s="25">
        <f>IF(AZ21="","◄",IF(AZ21="NE","~",""))</f>
        <v/>
      </c>
      <c r="BC21" s="23" t="n"/>
      <c r="BD21" s="24">
        <f>IF(BC21="","",IF(BC21="NE","",(IFERROR(IF(ISNUMBER(BC21),BC21,VALUE(BC21)),0)/2)*$F21*$F$13*20))</f>
        <v/>
      </c>
      <c r="BE21" s="25">
        <f>IF(BC21="","◄",IF(BC21="NE","~",""))</f>
        <v/>
      </c>
      <c r="BF21" s="23" t="n"/>
      <c r="BG21" s="24">
        <f>IF(BF21="","",IF(BF21="NE","",(IFERROR(IF(ISNUMBER(BF21),BF21,VALUE(BF21)),0)/2)*$F21*$F$13*20))</f>
        <v/>
      </c>
      <c r="BH21" s="25">
        <f>IF(BF21="","◄",IF(BF21="NE","~",""))</f>
        <v/>
      </c>
      <c r="BI21" s="23" t="n"/>
      <c r="BJ21" s="24">
        <f>IF(BI21="","",IF(BI21="NE","",(IFERROR(IF(ISNUMBER(BI21),BI21,VALUE(BI21)),0)/2)*$F21*$F$13*20))</f>
        <v/>
      </c>
      <c r="BK21" s="25">
        <f>IF(BI21="","◄",IF(BI21="NE","~",""))</f>
        <v/>
      </c>
      <c r="BL21" s="23" t="n"/>
      <c r="BM21" s="24">
        <f>IF(BL21="","",IF(BL21="NE","",(IFERROR(IF(ISNUMBER(BL21),BL21,VALUE(BL21)),0)/2)*$F21*$F$13*20))</f>
        <v/>
      </c>
      <c r="BN21" s="25">
        <f>IF(BL21="","◄",IF(BL21="NE","~",""))</f>
        <v/>
      </c>
      <c r="BO21" s="23" t="n"/>
      <c r="BP21" s="24">
        <f>IF(BO21="","",IF(BO21="NE","",(IFERROR(IF(ISNUMBER(BO21),BO21,VALUE(BO21)),0)/2)*$F21*$F$13*20))</f>
        <v/>
      </c>
      <c r="BQ21" s="25">
        <f>IF(BO21="","◄",IF(BO21="NE","~",""))</f>
        <v/>
      </c>
      <c r="BR21" s="23" t="n"/>
      <c r="BS21" s="24">
        <f>IF(BR21="","",IF(BR21="NE","",(IFERROR(IF(ISNUMBER(BR21),BR21,VALUE(BR21)),0)/2)*$F21*$F$13*20))</f>
        <v/>
      </c>
      <c r="BT21" s="25">
        <f>IF(BR21="","◄",IF(BR21="NE","~",""))</f>
        <v/>
      </c>
      <c r="BU21" s="23" t="n"/>
      <c r="BV21" s="24">
        <f>IF(BU21="","",IF(BU21="NE","",(IFERROR(IF(ISNUMBER(BU21),BU21,VALUE(BU21)),0)/2)*$F21*$F$13*20))</f>
        <v/>
      </c>
      <c r="BW21" s="25">
        <f>IF(BU21="","◄",IF(BU21="NE","~",""))</f>
        <v/>
      </c>
      <c r="BX21" s="23" t="n"/>
      <c r="BY21" s="24">
        <f>IF(BX21="","",IF(BX21="NE","",(IFERROR(IF(ISNUMBER(BX21),BX21,VALUE(BX21)),0)/2)*$F21*$F$13*20))</f>
        <v/>
      </c>
      <c r="BZ21" s="25">
        <f>IF(BX21="","◄",IF(BX21="NE","~",""))</f>
        <v/>
      </c>
      <c r="CA21" s="23" t="n"/>
      <c r="CB21" s="24">
        <f>IF(CA21="","",IF(CA21="NE","",(IFERROR(IF(ISNUMBER(CA21),CA21,VALUE(CA21)),0)/2)*$F21*$F$13*20))</f>
        <v/>
      </c>
      <c r="CC21" s="25">
        <f>IF(CA21="","◄",IF(CA21="NE","~",""))</f>
        <v/>
      </c>
      <c r="CD21" s="23" t="n"/>
      <c r="CE21" s="24">
        <f>IF(CD21="","",IF(CD21="NE","",(IFERROR(IF(ISNUMBER(CD21),CD21,VALUE(CD21)),0)/2)*$F21*$F$13*20))</f>
        <v/>
      </c>
      <c r="CF21" s="25">
        <f>IF(CD21="","◄",IF(CD21="NE","~",""))</f>
        <v/>
      </c>
      <c r="CG21" s="23" t="n"/>
      <c r="CH21" s="24">
        <f>IF(CG21="","",IF(CG21="NE","",(IFERROR(IF(ISNUMBER(CG21),CG21,VALUE(CG21)),0)/2)*$F21*$F$13*20))</f>
        <v/>
      </c>
      <c r="CI21" s="25">
        <f>IF(CG21="","◄",IF(CG21="NE","~",""))</f>
        <v/>
      </c>
      <c r="CJ21" s="23" t="n"/>
      <c r="CK21" s="24">
        <f>IF(CJ21="","",IF(CJ21="NE","",(IFERROR(IF(ISNUMBER(CJ21),CJ21,VALUE(CJ21)),0)/2)*$F21*$F$13*20))</f>
        <v/>
      </c>
      <c r="CL21" s="25">
        <f>IF(CJ21="","◄",IF(CJ21="NE","~",""))</f>
        <v/>
      </c>
      <c r="CM21" s="23" t="n"/>
      <c r="CN21" s="24">
        <f>IF(CM21="","",IF(CM21="NE","",(IFERROR(IF(ISNUMBER(CM21),CM21,VALUE(CM21)),0)/2)*$F21*$F$13*20))</f>
        <v/>
      </c>
      <c r="CO21" s="25">
        <f>IF(CM21="","◄",IF(CM21="NE","~",""))</f>
        <v/>
      </c>
      <c r="CP21" s="23" t="n"/>
      <c r="CQ21" s="24">
        <f>IF(CP21="","",IF(CP21="NE","",(IFERROR(IF(ISNUMBER(CP21),CP21,VALUE(CP21)),0)/2)*$F21*$F$13*20))</f>
        <v/>
      </c>
      <c r="CR21" s="25">
        <f>IF(CP21="","◄",IF(CP21="NE","~",""))</f>
        <v/>
      </c>
    </row>
    <row r="22" ht="22" customHeight="1">
      <c r="A22" s="14" t="inlineStr"/>
      <c r="B22" s="15" t="inlineStr">
        <is>
          <t>P3</t>
        </is>
      </c>
      <c r="C22" s="14" t="inlineStr"/>
      <c r="D22" s="16" t="inlineStr">
        <is>
          <t>Partie</t>
        </is>
      </c>
      <c r="E22" s="17" t="inlineStr">
        <is>
          <t>Comment la maîtrise de l'information permet-elle de garantir la sécurité des personnes ?</t>
        </is>
      </c>
      <c r="F22" s="18" t="n">
        <v>0.1</v>
      </c>
      <c r="G22" s="14" t="n"/>
      <c r="H22" s="19">
        <f>IFERROR(SUM(H23:H26)/(SUMPRODUCT(($F$23:$F$26)*(G23:G26&lt;&gt;"")*(G23:G26&lt;&gt;"NE"))*$F$22),"")</f>
        <v/>
      </c>
      <c r="I22" s="14" t="n"/>
      <c r="J22" s="14" t="n"/>
      <c r="K22" s="19">
        <f>IFERROR(SUM(K23:K26)/(SUMPRODUCT(($F$23:$F$26)*(J23:J26&lt;&gt;"")*(J23:J26&lt;&gt;"NE"))*$F$22),"")</f>
        <v/>
      </c>
      <c r="L22" s="14" t="n"/>
      <c r="M22" s="14" t="n"/>
      <c r="N22" s="19">
        <f>IFERROR(SUM(N23:N26)/(SUMPRODUCT(($F$23:$F$26)*(M23:M26&lt;&gt;"")*(M23:M26&lt;&gt;"NE"))*$F$22),"")</f>
        <v/>
      </c>
      <c r="O22" s="14" t="n"/>
      <c r="P22" s="14" t="n"/>
      <c r="Q22" s="19">
        <f>IFERROR(SUM(Q23:Q26)/(SUMPRODUCT(($F$23:$F$26)*(P23:P26&lt;&gt;"")*(P23:P26&lt;&gt;"NE"))*$F$22),"")</f>
        <v/>
      </c>
      <c r="R22" s="14" t="n"/>
      <c r="S22" s="14" t="n"/>
      <c r="T22" s="19">
        <f>IFERROR(SUM(T23:T26)/(SUMPRODUCT(($F$23:$F$26)*(S23:S26&lt;&gt;"")*(S23:S26&lt;&gt;"NE"))*$F$22),"")</f>
        <v/>
      </c>
      <c r="U22" s="14" t="n"/>
      <c r="V22" s="14" t="n"/>
      <c r="W22" s="19">
        <f>IFERROR(SUM(W23:W26)/(SUMPRODUCT(($F$23:$F$26)*(V23:V26&lt;&gt;"")*(V23:V26&lt;&gt;"NE"))*$F$22),"")</f>
        <v/>
      </c>
      <c r="X22" s="14" t="n"/>
      <c r="Y22" s="14" t="n"/>
      <c r="Z22" s="19">
        <f>IFERROR(SUM(Z23:Z26)/(SUMPRODUCT(($F$23:$F$26)*(Y23:Y26&lt;&gt;"")*(Y23:Y26&lt;&gt;"NE"))*$F$22),"")</f>
        <v/>
      </c>
      <c r="AA22" s="14" t="n"/>
      <c r="AB22" s="14" t="n"/>
      <c r="AC22" s="19">
        <f>IFERROR(SUM(AC23:AC26)/(SUMPRODUCT(($F$23:$F$26)*(AB23:AB26&lt;&gt;"")*(AB23:AB26&lt;&gt;"NE"))*$F$22),"")</f>
        <v/>
      </c>
      <c r="AD22" s="14" t="n"/>
      <c r="AE22" s="14" t="n"/>
      <c r="AF22" s="19">
        <f>IFERROR(SUM(AF23:AF26)/(SUMPRODUCT(($F$23:$F$26)*(AE23:AE26&lt;&gt;"")*(AE23:AE26&lt;&gt;"NE"))*$F$22),"")</f>
        <v/>
      </c>
      <c r="AG22" s="14" t="n"/>
      <c r="AH22" s="14" t="n"/>
      <c r="AI22" s="19">
        <f>IFERROR(SUM(AI23:AI26)/(SUMPRODUCT(($F$23:$F$26)*(AH23:AH26&lt;&gt;"")*(AH23:AH26&lt;&gt;"NE"))*$F$22),"")</f>
        <v/>
      </c>
      <c r="AJ22" s="14" t="n"/>
      <c r="AK22" s="14" t="n"/>
      <c r="AL22" s="19">
        <f>IFERROR(SUM(AL23:AL26)/(SUMPRODUCT(($F$23:$F$26)*(AK23:AK26&lt;&gt;"")*(AK23:AK26&lt;&gt;"NE"))*$F$22),"")</f>
        <v/>
      </c>
      <c r="AM22" s="14" t="n"/>
      <c r="AN22" s="14" t="n"/>
      <c r="AO22" s="19">
        <f>IFERROR(SUM(AO23:AO26)/(SUMPRODUCT(($F$23:$F$26)*(AN23:AN26&lt;&gt;"")*(AN23:AN26&lt;&gt;"NE"))*$F$22),"")</f>
        <v/>
      </c>
      <c r="AP22" s="14" t="n"/>
      <c r="AQ22" s="14" t="n"/>
      <c r="AR22" s="19">
        <f>IFERROR(SUM(AR23:AR26)/(SUMPRODUCT(($F$23:$F$26)*(AQ23:AQ26&lt;&gt;"")*(AQ23:AQ26&lt;&gt;"NE"))*$F$22),"")</f>
        <v/>
      </c>
      <c r="AS22" s="14" t="n"/>
      <c r="AT22" s="14" t="n"/>
      <c r="AU22" s="19">
        <f>IFERROR(SUM(AU23:AU26)/(SUMPRODUCT(($F$23:$F$26)*(AT23:AT26&lt;&gt;"")*(AT23:AT26&lt;&gt;"NE"))*$F$22),"")</f>
        <v/>
      </c>
      <c r="AV22" s="14" t="n"/>
      <c r="AW22" s="14" t="n"/>
      <c r="AX22" s="19">
        <f>IFERROR(SUM(AX23:AX26)/(SUMPRODUCT(($F$23:$F$26)*(AW23:AW26&lt;&gt;"")*(AW23:AW26&lt;&gt;"NE"))*$F$22),"")</f>
        <v/>
      </c>
      <c r="AY22" s="14" t="n"/>
      <c r="AZ22" s="14" t="n"/>
      <c r="BA22" s="19">
        <f>IFERROR(SUM(BA23:BA26)/(SUMPRODUCT(($F$23:$F$26)*(AZ23:AZ26&lt;&gt;"")*(AZ23:AZ26&lt;&gt;"NE"))*$F$22),"")</f>
        <v/>
      </c>
      <c r="BB22" s="14" t="n"/>
      <c r="BC22" s="14" t="n"/>
      <c r="BD22" s="19">
        <f>IFERROR(SUM(BD23:BD26)/(SUMPRODUCT(($F$23:$F$26)*(BC23:BC26&lt;&gt;"")*(BC23:BC26&lt;&gt;"NE"))*$F$22),"")</f>
        <v/>
      </c>
      <c r="BE22" s="14" t="n"/>
      <c r="BF22" s="14" t="n"/>
      <c r="BG22" s="19">
        <f>IFERROR(SUM(BG23:BG26)/(SUMPRODUCT(($F$23:$F$26)*(BF23:BF26&lt;&gt;"")*(BF23:BF26&lt;&gt;"NE"))*$F$22),"")</f>
        <v/>
      </c>
      <c r="BH22" s="14" t="n"/>
      <c r="BI22" s="14" t="n"/>
      <c r="BJ22" s="19">
        <f>IFERROR(SUM(BJ23:BJ26)/(SUMPRODUCT(($F$23:$F$26)*(BI23:BI26&lt;&gt;"")*(BI23:BI26&lt;&gt;"NE"))*$F$22),"")</f>
        <v/>
      </c>
      <c r="BK22" s="14" t="n"/>
      <c r="BL22" s="14" t="n"/>
      <c r="BM22" s="19">
        <f>IFERROR(SUM(BM23:BM26)/(SUMPRODUCT(($F$23:$F$26)*(BL23:BL26&lt;&gt;"")*(BL23:BL26&lt;&gt;"NE"))*$F$22),"")</f>
        <v/>
      </c>
      <c r="BN22" s="14" t="n"/>
      <c r="BO22" s="14" t="n"/>
      <c r="BP22" s="19">
        <f>IFERROR(SUM(BP23:BP26)/(SUMPRODUCT(($F$23:$F$26)*(BO23:BO26&lt;&gt;"")*(BO23:BO26&lt;&gt;"NE"))*$F$22),"")</f>
        <v/>
      </c>
      <c r="BQ22" s="14" t="n"/>
      <c r="BR22" s="14" t="n"/>
      <c r="BS22" s="19">
        <f>IFERROR(SUM(BS23:BS26)/(SUMPRODUCT(($F$23:$F$26)*(BR23:BR26&lt;&gt;"")*(BR23:BR26&lt;&gt;"NE"))*$F$22),"")</f>
        <v/>
      </c>
      <c r="BT22" s="14" t="n"/>
      <c r="BU22" s="14" t="n"/>
      <c r="BV22" s="19">
        <f>IFERROR(SUM(BV23:BV26)/(SUMPRODUCT(($F$23:$F$26)*(BU23:BU26&lt;&gt;"")*(BU23:BU26&lt;&gt;"NE"))*$F$22),"")</f>
        <v/>
      </c>
      <c r="BW22" s="14" t="n"/>
      <c r="BX22" s="14" t="n"/>
      <c r="BY22" s="19">
        <f>IFERROR(SUM(BY23:BY26)/(SUMPRODUCT(($F$23:$F$26)*(BX23:BX26&lt;&gt;"")*(BX23:BX26&lt;&gt;"NE"))*$F$22),"")</f>
        <v/>
      </c>
      <c r="BZ22" s="14" t="n"/>
      <c r="CA22" s="14" t="n"/>
      <c r="CB22" s="19">
        <f>IFERROR(SUM(CB23:CB26)/(SUMPRODUCT(($F$23:$F$26)*(CA23:CA26&lt;&gt;"")*(CA23:CA26&lt;&gt;"NE"))*$F$22),"")</f>
        <v/>
      </c>
      <c r="CC22" s="14" t="n"/>
      <c r="CD22" s="14" t="n"/>
      <c r="CE22" s="19">
        <f>IFERROR(SUM(CE23:CE26)/(SUMPRODUCT(($F$23:$F$26)*(CD23:CD26&lt;&gt;"")*(CD23:CD26&lt;&gt;"NE"))*$F$22),"")</f>
        <v/>
      </c>
      <c r="CF22" s="14" t="n"/>
      <c r="CG22" s="14" t="n"/>
      <c r="CH22" s="19">
        <f>IFERROR(SUM(CH23:CH26)/(SUMPRODUCT(($F$23:$F$26)*(CG23:CG26&lt;&gt;"")*(CG23:CG26&lt;&gt;"NE"))*$F$22),"")</f>
        <v/>
      </c>
      <c r="CI22" s="14" t="n"/>
      <c r="CJ22" s="14" t="n"/>
      <c r="CK22" s="19">
        <f>IFERROR(SUM(CK23:CK26)/(SUMPRODUCT(($F$23:$F$26)*(CJ23:CJ26&lt;&gt;"")*(CJ23:CJ26&lt;&gt;"NE"))*$F$22),"")</f>
        <v/>
      </c>
      <c r="CL22" s="14" t="n"/>
      <c r="CM22" s="14" t="n"/>
      <c r="CN22" s="19">
        <f>IFERROR(SUM(CN23:CN26)/(SUMPRODUCT(($F$23:$F$26)*(CM23:CM26&lt;&gt;"")*(CM23:CM26&lt;&gt;"NE"))*$F$22),"")</f>
        <v/>
      </c>
      <c r="CO22" s="14" t="n"/>
      <c r="CP22" s="14" t="n"/>
      <c r="CQ22" s="19">
        <f>IFERROR(SUM(CQ23:CQ26)/(SUMPRODUCT(($F$23:$F$26)*(CP23:CP26&lt;&gt;"")*(CP23:CP26&lt;&gt;"NE"))*$F$22),"")</f>
        <v/>
      </c>
      <c r="CR22" s="14" t="n"/>
    </row>
    <row r="23" ht="36" customHeight="1">
      <c r="A23" s="20" t="n">
        <v>16</v>
      </c>
      <c r="B23" s="20" t="inlineStr">
        <is>
          <t>P3</t>
        </is>
      </c>
      <c r="C23" s="20" t="inlineStr">
        <is>
          <t>Q3.1</t>
        </is>
      </c>
      <c r="D23" s="20" t="inlineStr">
        <is>
          <t>Critère</t>
        </is>
      </c>
      <c r="E23" s="21" t="inlineStr">
        <is>
          <t>Masque 255.255.0.0 → (256 × 256) − 2 = 65 534 adresses possibles.</t>
        </is>
      </c>
      <c r="F23" s="22" t="n">
        <v>0.25</v>
      </c>
      <c r="G23" s="23" t="n"/>
      <c r="H23" s="24">
        <f>IF(G23="","",IF(G23="NE","",(IFERROR(IF(ISNUMBER(G23),G23,VALUE(G23)),0)/2)*$F23*$F$22*20))</f>
        <v/>
      </c>
      <c r="I23" s="25">
        <f>IF(G23="","◄",IF(G23="NE","~",""))</f>
        <v/>
      </c>
      <c r="J23" s="23" t="n"/>
      <c r="K23" s="24">
        <f>IF(J23="","",IF(J23="NE","",(IFERROR(IF(ISNUMBER(J23),J23,VALUE(J23)),0)/2)*$F23*$F$22*20))</f>
        <v/>
      </c>
      <c r="L23" s="25">
        <f>IF(J23="","◄",IF(J23="NE","~",""))</f>
        <v/>
      </c>
      <c r="M23" s="23" t="n"/>
      <c r="N23" s="24">
        <f>IF(M23="","",IF(M23="NE","",(IFERROR(IF(ISNUMBER(M23),M23,VALUE(M23)),0)/2)*$F23*$F$22*20))</f>
        <v/>
      </c>
      <c r="O23" s="25">
        <f>IF(M23="","◄",IF(M23="NE","~",""))</f>
        <v/>
      </c>
      <c r="P23" s="23" t="n"/>
      <c r="Q23" s="24">
        <f>IF(P23="","",IF(P23="NE","",(IFERROR(IF(ISNUMBER(P23),P23,VALUE(P23)),0)/2)*$F23*$F$22*20))</f>
        <v/>
      </c>
      <c r="R23" s="25">
        <f>IF(P23="","◄",IF(P23="NE","~",""))</f>
        <v/>
      </c>
      <c r="S23" s="23" t="n"/>
      <c r="T23" s="24">
        <f>IF(S23="","",IF(S23="NE","",(IFERROR(IF(ISNUMBER(S23),S23,VALUE(S23)),0)/2)*$F23*$F$22*20))</f>
        <v/>
      </c>
      <c r="U23" s="25">
        <f>IF(S23="","◄",IF(S23="NE","~",""))</f>
        <v/>
      </c>
      <c r="V23" s="23" t="n"/>
      <c r="W23" s="24">
        <f>IF(V23="","",IF(V23="NE","",(IFERROR(IF(ISNUMBER(V23),V23,VALUE(V23)),0)/2)*$F23*$F$22*20))</f>
        <v/>
      </c>
      <c r="X23" s="25">
        <f>IF(V23="","◄",IF(V23="NE","~",""))</f>
        <v/>
      </c>
      <c r="Y23" s="23" t="n"/>
      <c r="Z23" s="24">
        <f>IF(Y23="","",IF(Y23="NE","",(IFERROR(IF(ISNUMBER(Y23),Y23,VALUE(Y23)),0)/2)*$F23*$F$22*20))</f>
        <v/>
      </c>
      <c r="AA23" s="25">
        <f>IF(Y23="","◄",IF(Y23="NE","~",""))</f>
        <v/>
      </c>
      <c r="AB23" s="23" t="n"/>
      <c r="AC23" s="24">
        <f>IF(AB23="","",IF(AB23="NE","",(IFERROR(IF(ISNUMBER(AB23),AB23,VALUE(AB23)),0)/2)*$F23*$F$22*20))</f>
        <v/>
      </c>
      <c r="AD23" s="25">
        <f>IF(AB23="","◄",IF(AB23="NE","~",""))</f>
        <v/>
      </c>
      <c r="AE23" s="23" t="n"/>
      <c r="AF23" s="24">
        <f>IF(AE23="","",IF(AE23="NE","",(IFERROR(IF(ISNUMBER(AE23),AE23,VALUE(AE23)),0)/2)*$F23*$F$22*20))</f>
        <v/>
      </c>
      <c r="AG23" s="25">
        <f>IF(AE23="","◄",IF(AE23="NE","~",""))</f>
        <v/>
      </c>
      <c r="AH23" s="23" t="n"/>
      <c r="AI23" s="24">
        <f>IF(AH23="","",IF(AH23="NE","",(IFERROR(IF(ISNUMBER(AH23),AH23,VALUE(AH23)),0)/2)*$F23*$F$22*20))</f>
        <v/>
      </c>
      <c r="AJ23" s="25">
        <f>IF(AH23="","◄",IF(AH23="NE","~",""))</f>
        <v/>
      </c>
      <c r="AK23" s="23" t="n"/>
      <c r="AL23" s="24">
        <f>IF(AK23="","",IF(AK23="NE","",(IFERROR(IF(ISNUMBER(AK23),AK23,VALUE(AK23)),0)/2)*$F23*$F$22*20))</f>
        <v/>
      </c>
      <c r="AM23" s="25">
        <f>IF(AK23="","◄",IF(AK23="NE","~",""))</f>
        <v/>
      </c>
      <c r="AN23" s="23" t="n"/>
      <c r="AO23" s="24">
        <f>IF(AN23="","",IF(AN23="NE","",(IFERROR(IF(ISNUMBER(AN23),AN23,VALUE(AN23)),0)/2)*$F23*$F$22*20))</f>
        <v/>
      </c>
      <c r="AP23" s="25">
        <f>IF(AN23="","◄",IF(AN23="NE","~",""))</f>
        <v/>
      </c>
      <c r="AQ23" s="23" t="n"/>
      <c r="AR23" s="24">
        <f>IF(AQ23="","",IF(AQ23="NE","",(IFERROR(IF(ISNUMBER(AQ23),AQ23,VALUE(AQ23)),0)/2)*$F23*$F$22*20))</f>
        <v/>
      </c>
      <c r="AS23" s="25">
        <f>IF(AQ23="","◄",IF(AQ23="NE","~",""))</f>
        <v/>
      </c>
      <c r="AT23" s="23" t="n"/>
      <c r="AU23" s="24">
        <f>IF(AT23="","",IF(AT23="NE","",(IFERROR(IF(ISNUMBER(AT23),AT23,VALUE(AT23)),0)/2)*$F23*$F$22*20))</f>
        <v/>
      </c>
      <c r="AV23" s="25">
        <f>IF(AT23="","◄",IF(AT23="NE","~",""))</f>
        <v/>
      </c>
      <c r="AW23" s="23" t="n"/>
      <c r="AX23" s="24">
        <f>IF(AW23="","",IF(AW23="NE","",(IFERROR(IF(ISNUMBER(AW23),AW23,VALUE(AW23)),0)/2)*$F23*$F$22*20))</f>
        <v/>
      </c>
      <c r="AY23" s="25">
        <f>IF(AW23="","◄",IF(AW23="NE","~",""))</f>
        <v/>
      </c>
      <c r="AZ23" s="23" t="n"/>
      <c r="BA23" s="24">
        <f>IF(AZ23="","",IF(AZ23="NE","",(IFERROR(IF(ISNUMBER(AZ23),AZ23,VALUE(AZ23)),0)/2)*$F23*$F$22*20))</f>
        <v/>
      </c>
      <c r="BB23" s="25">
        <f>IF(AZ23="","◄",IF(AZ23="NE","~",""))</f>
        <v/>
      </c>
      <c r="BC23" s="23" t="n"/>
      <c r="BD23" s="24">
        <f>IF(BC23="","",IF(BC23="NE","",(IFERROR(IF(ISNUMBER(BC23),BC23,VALUE(BC23)),0)/2)*$F23*$F$22*20))</f>
        <v/>
      </c>
      <c r="BE23" s="25">
        <f>IF(BC23="","◄",IF(BC23="NE","~",""))</f>
        <v/>
      </c>
      <c r="BF23" s="23" t="n"/>
      <c r="BG23" s="24">
        <f>IF(BF23="","",IF(BF23="NE","",(IFERROR(IF(ISNUMBER(BF23),BF23,VALUE(BF23)),0)/2)*$F23*$F$22*20))</f>
        <v/>
      </c>
      <c r="BH23" s="25">
        <f>IF(BF23="","◄",IF(BF23="NE","~",""))</f>
        <v/>
      </c>
      <c r="BI23" s="23" t="n"/>
      <c r="BJ23" s="24">
        <f>IF(BI23="","",IF(BI23="NE","",(IFERROR(IF(ISNUMBER(BI23),BI23,VALUE(BI23)),0)/2)*$F23*$F$22*20))</f>
        <v/>
      </c>
      <c r="BK23" s="25">
        <f>IF(BI23="","◄",IF(BI23="NE","~",""))</f>
        <v/>
      </c>
      <c r="BL23" s="23" t="n"/>
      <c r="BM23" s="24">
        <f>IF(BL23="","",IF(BL23="NE","",(IFERROR(IF(ISNUMBER(BL23),BL23,VALUE(BL23)),0)/2)*$F23*$F$22*20))</f>
        <v/>
      </c>
      <c r="BN23" s="25">
        <f>IF(BL23="","◄",IF(BL23="NE","~",""))</f>
        <v/>
      </c>
      <c r="BO23" s="23" t="n"/>
      <c r="BP23" s="24">
        <f>IF(BO23="","",IF(BO23="NE","",(IFERROR(IF(ISNUMBER(BO23),BO23,VALUE(BO23)),0)/2)*$F23*$F$22*20))</f>
        <v/>
      </c>
      <c r="BQ23" s="25">
        <f>IF(BO23="","◄",IF(BO23="NE","~",""))</f>
        <v/>
      </c>
      <c r="BR23" s="23" t="n"/>
      <c r="BS23" s="24">
        <f>IF(BR23="","",IF(BR23="NE","",(IFERROR(IF(ISNUMBER(BR23),BR23,VALUE(BR23)),0)/2)*$F23*$F$22*20))</f>
        <v/>
      </c>
      <c r="BT23" s="25">
        <f>IF(BR23="","◄",IF(BR23="NE","~",""))</f>
        <v/>
      </c>
      <c r="BU23" s="23" t="n"/>
      <c r="BV23" s="24">
        <f>IF(BU23="","",IF(BU23="NE","",(IFERROR(IF(ISNUMBER(BU23),BU23,VALUE(BU23)),0)/2)*$F23*$F$22*20))</f>
        <v/>
      </c>
      <c r="BW23" s="25">
        <f>IF(BU23="","◄",IF(BU23="NE","~",""))</f>
        <v/>
      </c>
      <c r="BX23" s="23" t="n"/>
      <c r="BY23" s="24">
        <f>IF(BX23="","",IF(BX23="NE","",(IFERROR(IF(ISNUMBER(BX23),BX23,VALUE(BX23)),0)/2)*$F23*$F$22*20))</f>
        <v/>
      </c>
      <c r="BZ23" s="25">
        <f>IF(BX23="","◄",IF(BX23="NE","~",""))</f>
        <v/>
      </c>
      <c r="CA23" s="23" t="n"/>
      <c r="CB23" s="24">
        <f>IF(CA23="","",IF(CA23="NE","",(IFERROR(IF(ISNUMBER(CA23),CA23,VALUE(CA23)),0)/2)*$F23*$F$22*20))</f>
        <v/>
      </c>
      <c r="CC23" s="25">
        <f>IF(CA23="","◄",IF(CA23="NE","~",""))</f>
        <v/>
      </c>
      <c r="CD23" s="23" t="n"/>
      <c r="CE23" s="24">
        <f>IF(CD23="","",IF(CD23="NE","",(IFERROR(IF(ISNUMBER(CD23),CD23,VALUE(CD23)),0)/2)*$F23*$F$22*20))</f>
        <v/>
      </c>
      <c r="CF23" s="25">
        <f>IF(CD23="","◄",IF(CD23="NE","~",""))</f>
        <v/>
      </c>
      <c r="CG23" s="23" t="n"/>
      <c r="CH23" s="24">
        <f>IF(CG23="","",IF(CG23="NE","",(IFERROR(IF(ISNUMBER(CG23),CG23,VALUE(CG23)),0)/2)*$F23*$F$22*20))</f>
        <v/>
      </c>
      <c r="CI23" s="25">
        <f>IF(CG23="","◄",IF(CG23="NE","~",""))</f>
        <v/>
      </c>
      <c r="CJ23" s="23" t="n"/>
      <c r="CK23" s="24">
        <f>IF(CJ23="","",IF(CJ23="NE","",(IFERROR(IF(ISNUMBER(CJ23),CJ23,VALUE(CJ23)),0)/2)*$F23*$F$22*20))</f>
        <v/>
      </c>
      <c r="CL23" s="25">
        <f>IF(CJ23="","◄",IF(CJ23="NE","~",""))</f>
        <v/>
      </c>
      <c r="CM23" s="23" t="n"/>
      <c r="CN23" s="24">
        <f>IF(CM23="","",IF(CM23="NE","",(IFERROR(IF(ISNUMBER(CM23),CM23,VALUE(CM23)),0)/2)*$F23*$F$22*20))</f>
        <v/>
      </c>
      <c r="CO23" s="25">
        <f>IF(CM23="","◄",IF(CM23="NE","~",""))</f>
        <v/>
      </c>
      <c r="CP23" s="23" t="n"/>
      <c r="CQ23" s="24">
        <f>IF(CP23="","",IF(CP23="NE","",(IFERROR(IF(ISNUMBER(CP23),CP23,VALUE(CP23)),0)/2)*$F23*$F$22*20))</f>
        <v/>
      </c>
      <c r="CR23" s="25">
        <f>IF(CP23="","◄",IF(CP23="NE","~",""))</f>
        <v/>
      </c>
    </row>
    <row r="24" ht="36" customHeight="1">
      <c r="A24" s="20" t="n">
        <v>17</v>
      </c>
      <c r="B24" s="20" t="inlineStr">
        <is>
          <t>P3</t>
        </is>
      </c>
      <c r="C24" s="20" t="inlineStr">
        <is>
          <t>Q3.1</t>
        </is>
      </c>
      <c r="D24" s="20" t="inlineStr">
        <is>
          <t>Critère</t>
        </is>
      </c>
      <c r="E24" s="21" t="inlineStr">
        <is>
          <t>Conversion binaire 10101100.00010000.00110010.11001000 → 172.16.50.200.</t>
        </is>
      </c>
      <c r="F24" s="22" t="n">
        <v>0.25</v>
      </c>
      <c r="G24" s="23" t="n"/>
      <c r="H24" s="24">
        <f>IF(G24="","",IF(G24="NE","",(IFERROR(IF(ISNUMBER(G24),G24,VALUE(G24)),0)/2)*$F24*$F$22*20))</f>
        <v/>
      </c>
      <c r="I24" s="25">
        <f>IF(G24="","◄",IF(G24="NE","~",""))</f>
        <v/>
      </c>
      <c r="J24" s="23" t="n"/>
      <c r="K24" s="24">
        <f>IF(J24="","",IF(J24="NE","",(IFERROR(IF(ISNUMBER(J24),J24,VALUE(J24)),0)/2)*$F24*$F$22*20))</f>
        <v/>
      </c>
      <c r="L24" s="25">
        <f>IF(J24="","◄",IF(J24="NE","~",""))</f>
        <v/>
      </c>
      <c r="M24" s="23" t="n"/>
      <c r="N24" s="24">
        <f>IF(M24="","",IF(M24="NE","",(IFERROR(IF(ISNUMBER(M24),M24,VALUE(M24)),0)/2)*$F24*$F$22*20))</f>
        <v/>
      </c>
      <c r="O24" s="25">
        <f>IF(M24="","◄",IF(M24="NE","~",""))</f>
        <v/>
      </c>
      <c r="P24" s="23" t="n"/>
      <c r="Q24" s="24">
        <f>IF(P24="","",IF(P24="NE","",(IFERROR(IF(ISNUMBER(P24),P24,VALUE(P24)),0)/2)*$F24*$F$22*20))</f>
        <v/>
      </c>
      <c r="R24" s="25">
        <f>IF(P24="","◄",IF(P24="NE","~",""))</f>
        <v/>
      </c>
      <c r="S24" s="23" t="n"/>
      <c r="T24" s="24">
        <f>IF(S24="","",IF(S24="NE","",(IFERROR(IF(ISNUMBER(S24),S24,VALUE(S24)),0)/2)*$F24*$F$22*20))</f>
        <v/>
      </c>
      <c r="U24" s="25">
        <f>IF(S24="","◄",IF(S24="NE","~",""))</f>
        <v/>
      </c>
      <c r="V24" s="23" t="n"/>
      <c r="W24" s="24">
        <f>IF(V24="","",IF(V24="NE","",(IFERROR(IF(ISNUMBER(V24),V24,VALUE(V24)),0)/2)*$F24*$F$22*20))</f>
        <v/>
      </c>
      <c r="X24" s="25">
        <f>IF(V24="","◄",IF(V24="NE","~",""))</f>
        <v/>
      </c>
      <c r="Y24" s="23" t="n"/>
      <c r="Z24" s="24">
        <f>IF(Y24="","",IF(Y24="NE","",(IFERROR(IF(ISNUMBER(Y24),Y24,VALUE(Y24)),0)/2)*$F24*$F$22*20))</f>
        <v/>
      </c>
      <c r="AA24" s="25">
        <f>IF(Y24="","◄",IF(Y24="NE","~",""))</f>
        <v/>
      </c>
      <c r="AB24" s="23" t="n"/>
      <c r="AC24" s="24">
        <f>IF(AB24="","",IF(AB24="NE","",(IFERROR(IF(ISNUMBER(AB24),AB24,VALUE(AB24)),0)/2)*$F24*$F$22*20))</f>
        <v/>
      </c>
      <c r="AD24" s="25">
        <f>IF(AB24="","◄",IF(AB24="NE","~",""))</f>
        <v/>
      </c>
      <c r="AE24" s="23" t="n"/>
      <c r="AF24" s="24">
        <f>IF(AE24="","",IF(AE24="NE","",(IFERROR(IF(ISNUMBER(AE24),AE24,VALUE(AE24)),0)/2)*$F24*$F$22*20))</f>
        <v/>
      </c>
      <c r="AG24" s="25">
        <f>IF(AE24="","◄",IF(AE24="NE","~",""))</f>
        <v/>
      </c>
      <c r="AH24" s="23" t="n"/>
      <c r="AI24" s="24">
        <f>IF(AH24="","",IF(AH24="NE","",(IFERROR(IF(ISNUMBER(AH24),AH24,VALUE(AH24)),0)/2)*$F24*$F$22*20))</f>
        <v/>
      </c>
      <c r="AJ24" s="25">
        <f>IF(AH24="","◄",IF(AH24="NE","~",""))</f>
        <v/>
      </c>
      <c r="AK24" s="23" t="n"/>
      <c r="AL24" s="24">
        <f>IF(AK24="","",IF(AK24="NE","",(IFERROR(IF(ISNUMBER(AK24),AK24,VALUE(AK24)),0)/2)*$F24*$F$22*20))</f>
        <v/>
      </c>
      <c r="AM24" s="25">
        <f>IF(AK24="","◄",IF(AK24="NE","~",""))</f>
        <v/>
      </c>
      <c r="AN24" s="23" t="n"/>
      <c r="AO24" s="24">
        <f>IF(AN24="","",IF(AN24="NE","",(IFERROR(IF(ISNUMBER(AN24),AN24,VALUE(AN24)),0)/2)*$F24*$F$22*20))</f>
        <v/>
      </c>
      <c r="AP24" s="25">
        <f>IF(AN24="","◄",IF(AN24="NE","~",""))</f>
        <v/>
      </c>
      <c r="AQ24" s="23" t="n"/>
      <c r="AR24" s="24">
        <f>IF(AQ24="","",IF(AQ24="NE","",(IFERROR(IF(ISNUMBER(AQ24),AQ24,VALUE(AQ24)),0)/2)*$F24*$F$22*20))</f>
        <v/>
      </c>
      <c r="AS24" s="25">
        <f>IF(AQ24="","◄",IF(AQ24="NE","~",""))</f>
        <v/>
      </c>
      <c r="AT24" s="23" t="n"/>
      <c r="AU24" s="24">
        <f>IF(AT24="","",IF(AT24="NE","",(IFERROR(IF(ISNUMBER(AT24),AT24,VALUE(AT24)),0)/2)*$F24*$F$22*20))</f>
        <v/>
      </c>
      <c r="AV24" s="25">
        <f>IF(AT24="","◄",IF(AT24="NE","~",""))</f>
        <v/>
      </c>
      <c r="AW24" s="23" t="n"/>
      <c r="AX24" s="24">
        <f>IF(AW24="","",IF(AW24="NE","",(IFERROR(IF(ISNUMBER(AW24),AW24,VALUE(AW24)),0)/2)*$F24*$F$22*20))</f>
        <v/>
      </c>
      <c r="AY24" s="25">
        <f>IF(AW24="","◄",IF(AW24="NE","~",""))</f>
        <v/>
      </c>
      <c r="AZ24" s="23" t="n"/>
      <c r="BA24" s="24">
        <f>IF(AZ24="","",IF(AZ24="NE","",(IFERROR(IF(ISNUMBER(AZ24),AZ24,VALUE(AZ24)),0)/2)*$F24*$F$22*20))</f>
        <v/>
      </c>
      <c r="BB24" s="25">
        <f>IF(AZ24="","◄",IF(AZ24="NE","~",""))</f>
        <v/>
      </c>
      <c r="BC24" s="23" t="n"/>
      <c r="BD24" s="24">
        <f>IF(BC24="","",IF(BC24="NE","",(IFERROR(IF(ISNUMBER(BC24),BC24,VALUE(BC24)),0)/2)*$F24*$F$22*20))</f>
        <v/>
      </c>
      <c r="BE24" s="25">
        <f>IF(BC24="","◄",IF(BC24="NE","~",""))</f>
        <v/>
      </c>
      <c r="BF24" s="23" t="n"/>
      <c r="BG24" s="24">
        <f>IF(BF24="","",IF(BF24="NE","",(IFERROR(IF(ISNUMBER(BF24),BF24,VALUE(BF24)),0)/2)*$F24*$F$22*20))</f>
        <v/>
      </c>
      <c r="BH24" s="25">
        <f>IF(BF24="","◄",IF(BF24="NE","~",""))</f>
        <v/>
      </c>
      <c r="BI24" s="23" t="n"/>
      <c r="BJ24" s="24">
        <f>IF(BI24="","",IF(BI24="NE","",(IFERROR(IF(ISNUMBER(BI24),BI24,VALUE(BI24)),0)/2)*$F24*$F$22*20))</f>
        <v/>
      </c>
      <c r="BK24" s="25">
        <f>IF(BI24="","◄",IF(BI24="NE","~",""))</f>
        <v/>
      </c>
      <c r="BL24" s="23" t="n"/>
      <c r="BM24" s="24">
        <f>IF(BL24="","",IF(BL24="NE","",(IFERROR(IF(ISNUMBER(BL24),BL24,VALUE(BL24)),0)/2)*$F24*$F$22*20))</f>
        <v/>
      </c>
      <c r="BN24" s="25">
        <f>IF(BL24="","◄",IF(BL24="NE","~",""))</f>
        <v/>
      </c>
      <c r="BO24" s="23" t="n"/>
      <c r="BP24" s="24">
        <f>IF(BO24="","",IF(BO24="NE","",(IFERROR(IF(ISNUMBER(BO24),BO24,VALUE(BO24)),0)/2)*$F24*$F$22*20))</f>
        <v/>
      </c>
      <c r="BQ24" s="25">
        <f>IF(BO24="","◄",IF(BO24="NE","~",""))</f>
        <v/>
      </c>
      <c r="BR24" s="23" t="n"/>
      <c r="BS24" s="24">
        <f>IF(BR24="","",IF(BR24="NE","",(IFERROR(IF(ISNUMBER(BR24),BR24,VALUE(BR24)),0)/2)*$F24*$F$22*20))</f>
        <v/>
      </c>
      <c r="BT24" s="25">
        <f>IF(BR24="","◄",IF(BR24="NE","~",""))</f>
        <v/>
      </c>
      <c r="BU24" s="23" t="n"/>
      <c r="BV24" s="24">
        <f>IF(BU24="","",IF(BU24="NE","",(IFERROR(IF(ISNUMBER(BU24),BU24,VALUE(BU24)),0)/2)*$F24*$F$22*20))</f>
        <v/>
      </c>
      <c r="BW24" s="25">
        <f>IF(BU24="","◄",IF(BU24="NE","~",""))</f>
        <v/>
      </c>
      <c r="BX24" s="23" t="n"/>
      <c r="BY24" s="24">
        <f>IF(BX24="","",IF(BX24="NE","",(IFERROR(IF(ISNUMBER(BX24),BX24,VALUE(BX24)),0)/2)*$F24*$F$22*20))</f>
        <v/>
      </c>
      <c r="BZ24" s="25">
        <f>IF(BX24="","◄",IF(BX24="NE","~",""))</f>
        <v/>
      </c>
      <c r="CA24" s="23" t="n"/>
      <c r="CB24" s="24">
        <f>IF(CA24="","",IF(CA24="NE","",(IFERROR(IF(ISNUMBER(CA24),CA24,VALUE(CA24)),0)/2)*$F24*$F$22*20))</f>
        <v/>
      </c>
      <c r="CC24" s="25">
        <f>IF(CA24="","◄",IF(CA24="NE","~",""))</f>
        <v/>
      </c>
      <c r="CD24" s="23" t="n"/>
      <c r="CE24" s="24">
        <f>IF(CD24="","",IF(CD24="NE","",(IFERROR(IF(ISNUMBER(CD24),CD24,VALUE(CD24)),0)/2)*$F24*$F$22*20))</f>
        <v/>
      </c>
      <c r="CF24" s="25">
        <f>IF(CD24="","◄",IF(CD24="NE","~",""))</f>
        <v/>
      </c>
      <c r="CG24" s="23" t="n"/>
      <c r="CH24" s="24">
        <f>IF(CG24="","",IF(CG24="NE","",(IFERROR(IF(ISNUMBER(CG24),CG24,VALUE(CG24)),0)/2)*$F24*$F$22*20))</f>
        <v/>
      </c>
      <c r="CI24" s="25">
        <f>IF(CG24="","◄",IF(CG24="NE","~",""))</f>
        <v/>
      </c>
      <c r="CJ24" s="23" t="n"/>
      <c r="CK24" s="24">
        <f>IF(CJ24="","",IF(CJ24="NE","",(IFERROR(IF(ISNUMBER(CJ24),CJ24,VALUE(CJ24)),0)/2)*$F24*$F$22*20))</f>
        <v/>
      </c>
      <c r="CL24" s="25">
        <f>IF(CJ24="","◄",IF(CJ24="NE","~",""))</f>
        <v/>
      </c>
      <c r="CM24" s="23" t="n"/>
      <c r="CN24" s="24">
        <f>IF(CM24="","",IF(CM24="NE","",(IFERROR(IF(ISNUMBER(CM24),CM24,VALUE(CM24)),0)/2)*$F24*$F$22*20))</f>
        <v/>
      </c>
      <c r="CO24" s="25">
        <f>IF(CM24="","◄",IF(CM24="NE","~",""))</f>
        <v/>
      </c>
      <c r="CP24" s="23" t="n"/>
      <c r="CQ24" s="24">
        <f>IF(CP24="","",IF(CP24="NE","",(IFERROR(IF(ISNUMBER(CP24),CP24,VALUE(CP24)),0)/2)*$F24*$F$22*20))</f>
        <v/>
      </c>
      <c r="CR24" s="25">
        <f>IF(CP24="","◄",IF(CP24="NE","~",""))</f>
        <v/>
      </c>
    </row>
    <row r="25" ht="36" customHeight="1">
      <c r="A25" s="20" t="n">
        <v>18</v>
      </c>
      <c r="B25" s="20" t="inlineStr">
        <is>
          <t>P3</t>
        </is>
      </c>
      <c r="C25" s="20" t="inlineStr">
        <is>
          <t>Q3.2</t>
        </is>
      </c>
      <c r="D25" s="20" t="inlineStr">
        <is>
          <t>Critère</t>
        </is>
      </c>
      <c r="E25" s="21" t="inlineStr">
        <is>
          <t>Adresse IP proposée compatible et disponible (dans la plage réservée WiFi).</t>
        </is>
      </c>
      <c r="F25" s="22" t="n">
        <v>0.25</v>
      </c>
      <c r="G25" s="23" t="n"/>
      <c r="H25" s="24">
        <f>IF(G25="","",IF(G25="NE","",(IFERROR(IF(ISNUMBER(G25),G25,VALUE(G25)),0)/2)*$F25*$F$22*20))</f>
        <v/>
      </c>
      <c r="I25" s="25">
        <f>IF(G25="","◄",IF(G25="NE","~",""))</f>
        <v/>
      </c>
      <c r="J25" s="23" t="n"/>
      <c r="K25" s="24">
        <f>IF(J25="","",IF(J25="NE","",(IFERROR(IF(ISNUMBER(J25),J25,VALUE(J25)),0)/2)*$F25*$F$22*20))</f>
        <v/>
      </c>
      <c r="L25" s="25">
        <f>IF(J25="","◄",IF(J25="NE","~",""))</f>
        <v/>
      </c>
      <c r="M25" s="23" t="n"/>
      <c r="N25" s="24">
        <f>IF(M25="","",IF(M25="NE","",(IFERROR(IF(ISNUMBER(M25),M25,VALUE(M25)),0)/2)*$F25*$F$22*20))</f>
        <v/>
      </c>
      <c r="O25" s="25">
        <f>IF(M25="","◄",IF(M25="NE","~",""))</f>
        <v/>
      </c>
      <c r="P25" s="23" t="n"/>
      <c r="Q25" s="24">
        <f>IF(P25="","",IF(P25="NE","",(IFERROR(IF(ISNUMBER(P25),P25,VALUE(P25)),0)/2)*$F25*$F$22*20))</f>
        <v/>
      </c>
      <c r="R25" s="25">
        <f>IF(P25="","◄",IF(P25="NE","~",""))</f>
        <v/>
      </c>
      <c r="S25" s="23" t="n"/>
      <c r="T25" s="24">
        <f>IF(S25="","",IF(S25="NE","",(IFERROR(IF(ISNUMBER(S25),S25,VALUE(S25)),0)/2)*$F25*$F$22*20))</f>
        <v/>
      </c>
      <c r="U25" s="25">
        <f>IF(S25="","◄",IF(S25="NE","~",""))</f>
        <v/>
      </c>
      <c r="V25" s="23" t="n"/>
      <c r="W25" s="24">
        <f>IF(V25="","",IF(V25="NE","",(IFERROR(IF(ISNUMBER(V25),V25,VALUE(V25)),0)/2)*$F25*$F$22*20))</f>
        <v/>
      </c>
      <c r="X25" s="25">
        <f>IF(V25="","◄",IF(V25="NE","~",""))</f>
        <v/>
      </c>
      <c r="Y25" s="23" t="n"/>
      <c r="Z25" s="24">
        <f>IF(Y25="","",IF(Y25="NE","",(IFERROR(IF(ISNUMBER(Y25),Y25,VALUE(Y25)),0)/2)*$F25*$F$22*20))</f>
        <v/>
      </c>
      <c r="AA25" s="25">
        <f>IF(Y25="","◄",IF(Y25="NE","~",""))</f>
        <v/>
      </c>
      <c r="AB25" s="23" t="n"/>
      <c r="AC25" s="24">
        <f>IF(AB25="","",IF(AB25="NE","",(IFERROR(IF(ISNUMBER(AB25),AB25,VALUE(AB25)),0)/2)*$F25*$F$22*20))</f>
        <v/>
      </c>
      <c r="AD25" s="25">
        <f>IF(AB25="","◄",IF(AB25="NE","~",""))</f>
        <v/>
      </c>
      <c r="AE25" s="23" t="n"/>
      <c r="AF25" s="24">
        <f>IF(AE25="","",IF(AE25="NE","",(IFERROR(IF(ISNUMBER(AE25),AE25,VALUE(AE25)),0)/2)*$F25*$F$22*20))</f>
        <v/>
      </c>
      <c r="AG25" s="25">
        <f>IF(AE25="","◄",IF(AE25="NE","~",""))</f>
        <v/>
      </c>
      <c r="AH25" s="23" t="n"/>
      <c r="AI25" s="24">
        <f>IF(AH25="","",IF(AH25="NE","",(IFERROR(IF(ISNUMBER(AH25),AH25,VALUE(AH25)),0)/2)*$F25*$F$22*20))</f>
        <v/>
      </c>
      <c r="AJ25" s="25">
        <f>IF(AH25="","◄",IF(AH25="NE","~",""))</f>
        <v/>
      </c>
      <c r="AK25" s="23" t="n"/>
      <c r="AL25" s="24">
        <f>IF(AK25="","",IF(AK25="NE","",(IFERROR(IF(ISNUMBER(AK25),AK25,VALUE(AK25)),0)/2)*$F25*$F$22*20))</f>
        <v/>
      </c>
      <c r="AM25" s="25">
        <f>IF(AK25="","◄",IF(AK25="NE","~",""))</f>
        <v/>
      </c>
      <c r="AN25" s="23" t="n"/>
      <c r="AO25" s="24">
        <f>IF(AN25="","",IF(AN25="NE","",(IFERROR(IF(ISNUMBER(AN25),AN25,VALUE(AN25)),0)/2)*$F25*$F$22*20))</f>
        <v/>
      </c>
      <c r="AP25" s="25">
        <f>IF(AN25="","◄",IF(AN25="NE","~",""))</f>
        <v/>
      </c>
      <c r="AQ25" s="23" t="n"/>
      <c r="AR25" s="24">
        <f>IF(AQ25="","",IF(AQ25="NE","",(IFERROR(IF(ISNUMBER(AQ25),AQ25,VALUE(AQ25)),0)/2)*$F25*$F$22*20))</f>
        <v/>
      </c>
      <c r="AS25" s="25">
        <f>IF(AQ25="","◄",IF(AQ25="NE","~",""))</f>
        <v/>
      </c>
      <c r="AT25" s="23" t="n"/>
      <c r="AU25" s="24">
        <f>IF(AT25="","",IF(AT25="NE","",(IFERROR(IF(ISNUMBER(AT25),AT25,VALUE(AT25)),0)/2)*$F25*$F$22*20))</f>
        <v/>
      </c>
      <c r="AV25" s="25">
        <f>IF(AT25="","◄",IF(AT25="NE","~",""))</f>
        <v/>
      </c>
      <c r="AW25" s="23" t="n"/>
      <c r="AX25" s="24">
        <f>IF(AW25="","",IF(AW25="NE","",(IFERROR(IF(ISNUMBER(AW25),AW25,VALUE(AW25)),0)/2)*$F25*$F$22*20))</f>
        <v/>
      </c>
      <c r="AY25" s="25">
        <f>IF(AW25="","◄",IF(AW25="NE","~",""))</f>
        <v/>
      </c>
      <c r="AZ25" s="23" t="n"/>
      <c r="BA25" s="24">
        <f>IF(AZ25="","",IF(AZ25="NE","",(IFERROR(IF(ISNUMBER(AZ25),AZ25,VALUE(AZ25)),0)/2)*$F25*$F$22*20))</f>
        <v/>
      </c>
      <c r="BB25" s="25">
        <f>IF(AZ25="","◄",IF(AZ25="NE","~",""))</f>
        <v/>
      </c>
      <c r="BC25" s="23" t="n"/>
      <c r="BD25" s="24">
        <f>IF(BC25="","",IF(BC25="NE","",(IFERROR(IF(ISNUMBER(BC25),BC25,VALUE(BC25)),0)/2)*$F25*$F$22*20))</f>
        <v/>
      </c>
      <c r="BE25" s="25">
        <f>IF(BC25="","◄",IF(BC25="NE","~",""))</f>
        <v/>
      </c>
      <c r="BF25" s="23" t="n"/>
      <c r="BG25" s="24">
        <f>IF(BF25="","",IF(BF25="NE","",(IFERROR(IF(ISNUMBER(BF25),BF25,VALUE(BF25)),0)/2)*$F25*$F$22*20))</f>
        <v/>
      </c>
      <c r="BH25" s="25">
        <f>IF(BF25="","◄",IF(BF25="NE","~",""))</f>
        <v/>
      </c>
      <c r="BI25" s="23" t="n"/>
      <c r="BJ25" s="24">
        <f>IF(BI25="","",IF(BI25="NE","",(IFERROR(IF(ISNUMBER(BI25),BI25,VALUE(BI25)),0)/2)*$F25*$F$22*20))</f>
        <v/>
      </c>
      <c r="BK25" s="25">
        <f>IF(BI25="","◄",IF(BI25="NE","~",""))</f>
        <v/>
      </c>
      <c r="BL25" s="23" t="n"/>
      <c r="BM25" s="24">
        <f>IF(BL25="","",IF(BL25="NE","",(IFERROR(IF(ISNUMBER(BL25),BL25,VALUE(BL25)),0)/2)*$F25*$F$22*20))</f>
        <v/>
      </c>
      <c r="BN25" s="25">
        <f>IF(BL25="","◄",IF(BL25="NE","~",""))</f>
        <v/>
      </c>
      <c r="BO25" s="23" t="n"/>
      <c r="BP25" s="24">
        <f>IF(BO25="","",IF(BO25="NE","",(IFERROR(IF(ISNUMBER(BO25),BO25,VALUE(BO25)),0)/2)*$F25*$F$22*20))</f>
        <v/>
      </c>
      <c r="BQ25" s="25">
        <f>IF(BO25="","◄",IF(BO25="NE","~",""))</f>
        <v/>
      </c>
      <c r="BR25" s="23" t="n"/>
      <c r="BS25" s="24">
        <f>IF(BR25="","",IF(BR25="NE","",(IFERROR(IF(ISNUMBER(BR25),BR25,VALUE(BR25)),0)/2)*$F25*$F$22*20))</f>
        <v/>
      </c>
      <c r="BT25" s="25">
        <f>IF(BR25="","◄",IF(BR25="NE","~",""))</f>
        <v/>
      </c>
      <c r="BU25" s="23" t="n"/>
      <c r="BV25" s="24">
        <f>IF(BU25="","",IF(BU25="NE","",(IFERROR(IF(ISNUMBER(BU25),BU25,VALUE(BU25)),0)/2)*$F25*$F$22*20))</f>
        <v/>
      </c>
      <c r="BW25" s="25">
        <f>IF(BU25="","◄",IF(BU25="NE","~",""))</f>
        <v/>
      </c>
      <c r="BX25" s="23" t="n"/>
      <c r="BY25" s="24">
        <f>IF(BX25="","",IF(BX25="NE","",(IFERROR(IF(ISNUMBER(BX25),BX25,VALUE(BX25)),0)/2)*$F25*$F$22*20))</f>
        <v/>
      </c>
      <c r="BZ25" s="25">
        <f>IF(BX25="","◄",IF(BX25="NE","~",""))</f>
        <v/>
      </c>
      <c r="CA25" s="23" t="n"/>
      <c r="CB25" s="24">
        <f>IF(CA25="","",IF(CA25="NE","",(IFERROR(IF(ISNUMBER(CA25),CA25,VALUE(CA25)),0)/2)*$F25*$F$22*20))</f>
        <v/>
      </c>
      <c r="CC25" s="25">
        <f>IF(CA25="","◄",IF(CA25="NE","~",""))</f>
        <v/>
      </c>
      <c r="CD25" s="23" t="n"/>
      <c r="CE25" s="24">
        <f>IF(CD25="","",IF(CD25="NE","",(IFERROR(IF(ISNUMBER(CD25),CD25,VALUE(CD25)),0)/2)*$F25*$F$22*20))</f>
        <v/>
      </c>
      <c r="CF25" s="25">
        <f>IF(CD25="","◄",IF(CD25="NE","~",""))</f>
        <v/>
      </c>
      <c r="CG25" s="23" t="n"/>
      <c r="CH25" s="24">
        <f>IF(CG25="","",IF(CG25="NE","",(IFERROR(IF(ISNUMBER(CG25),CG25,VALUE(CG25)),0)/2)*$F25*$F$22*20))</f>
        <v/>
      </c>
      <c r="CI25" s="25">
        <f>IF(CG25="","◄",IF(CG25="NE","~",""))</f>
        <v/>
      </c>
      <c r="CJ25" s="23" t="n"/>
      <c r="CK25" s="24">
        <f>IF(CJ25="","",IF(CJ25="NE","",(IFERROR(IF(ISNUMBER(CJ25),CJ25,VALUE(CJ25)),0)/2)*$F25*$F$22*20))</f>
        <v/>
      </c>
      <c r="CL25" s="25">
        <f>IF(CJ25="","◄",IF(CJ25="NE","~",""))</f>
        <v/>
      </c>
      <c r="CM25" s="23" t="n"/>
      <c r="CN25" s="24">
        <f>IF(CM25="","",IF(CM25="NE","",(IFERROR(IF(ISNUMBER(CM25),CM25,VALUE(CM25)),0)/2)*$F25*$F$22*20))</f>
        <v/>
      </c>
      <c r="CO25" s="25">
        <f>IF(CM25="","◄",IF(CM25="NE","~",""))</f>
        <v/>
      </c>
      <c r="CP25" s="23" t="n"/>
      <c r="CQ25" s="24">
        <f>IF(CP25="","",IF(CP25="NE","",(IFERROR(IF(ISNUMBER(CP25),CP25,VALUE(CP25)),0)/2)*$F25*$F$22*20))</f>
        <v/>
      </c>
      <c r="CR25" s="25">
        <f>IF(CP25="","◄",IF(CP25="NE","~",""))</f>
        <v/>
      </c>
    </row>
    <row r="26" ht="36" customHeight="1">
      <c r="A26" s="20" t="n">
        <v>19</v>
      </c>
      <c r="B26" s="20" t="inlineStr">
        <is>
          <t>P3</t>
        </is>
      </c>
      <c r="C26" s="20" t="inlineStr">
        <is>
          <t>Q3.3</t>
        </is>
      </c>
      <c r="D26" s="20" t="inlineStr">
        <is>
          <t>Critère</t>
        </is>
      </c>
      <c r="E26" s="21" t="inlineStr">
        <is>
          <t>Protection des personnes : détecteurs multigaz + surveillance temps réel des expositions aux gaz nocifs.</t>
        </is>
      </c>
      <c r="F26" s="22" t="n">
        <v>0.25</v>
      </c>
      <c r="G26" s="23" t="n"/>
      <c r="H26" s="24">
        <f>IF(G26="","",IF(G26="NE","",(IFERROR(IF(ISNUMBER(G26),G26,VALUE(G26)),0)/2)*$F26*$F$22*20))</f>
        <v/>
      </c>
      <c r="I26" s="25">
        <f>IF(G26="","◄",IF(G26="NE","~",""))</f>
        <v/>
      </c>
      <c r="J26" s="23" t="n"/>
      <c r="K26" s="24">
        <f>IF(J26="","",IF(J26="NE","",(IFERROR(IF(ISNUMBER(J26),J26,VALUE(J26)),0)/2)*$F26*$F$22*20))</f>
        <v/>
      </c>
      <c r="L26" s="25">
        <f>IF(J26="","◄",IF(J26="NE","~",""))</f>
        <v/>
      </c>
      <c r="M26" s="23" t="n"/>
      <c r="N26" s="24">
        <f>IF(M26="","",IF(M26="NE","",(IFERROR(IF(ISNUMBER(M26),M26,VALUE(M26)),0)/2)*$F26*$F$22*20))</f>
        <v/>
      </c>
      <c r="O26" s="25">
        <f>IF(M26="","◄",IF(M26="NE","~",""))</f>
        <v/>
      </c>
      <c r="P26" s="23" t="n"/>
      <c r="Q26" s="24">
        <f>IF(P26="","",IF(P26="NE","",(IFERROR(IF(ISNUMBER(P26),P26,VALUE(P26)),0)/2)*$F26*$F$22*20))</f>
        <v/>
      </c>
      <c r="R26" s="25">
        <f>IF(P26="","◄",IF(P26="NE","~",""))</f>
        <v/>
      </c>
      <c r="S26" s="23" t="n"/>
      <c r="T26" s="24">
        <f>IF(S26="","",IF(S26="NE","",(IFERROR(IF(ISNUMBER(S26),S26,VALUE(S26)),0)/2)*$F26*$F$22*20))</f>
        <v/>
      </c>
      <c r="U26" s="25">
        <f>IF(S26="","◄",IF(S26="NE","~",""))</f>
        <v/>
      </c>
      <c r="V26" s="23" t="n"/>
      <c r="W26" s="24">
        <f>IF(V26="","",IF(V26="NE","",(IFERROR(IF(ISNUMBER(V26),V26,VALUE(V26)),0)/2)*$F26*$F$22*20))</f>
        <v/>
      </c>
      <c r="X26" s="25">
        <f>IF(V26="","◄",IF(V26="NE","~",""))</f>
        <v/>
      </c>
      <c r="Y26" s="23" t="n"/>
      <c r="Z26" s="24">
        <f>IF(Y26="","",IF(Y26="NE","",(IFERROR(IF(ISNUMBER(Y26),Y26,VALUE(Y26)),0)/2)*$F26*$F$22*20))</f>
        <v/>
      </c>
      <c r="AA26" s="25">
        <f>IF(Y26="","◄",IF(Y26="NE","~",""))</f>
        <v/>
      </c>
      <c r="AB26" s="23" t="n"/>
      <c r="AC26" s="24">
        <f>IF(AB26="","",IF(AB26="NE","",(IFERROR(IF(ISNUMBER(AB26),AB26,VALUE(AB26)),0)/2)*$F26*$F$22*20))</f>
        <v/>
      </c>
      <c r="AD26" s="25">
        <f>IF(AB26="","◄",IF(AB26="NE","~",""))</f>
        <v/>
      </c>
      <c r="AE26" s="23" t="n"/>
      <c r="AF26" s="24">
        <f>IF(AE26="","",IF(AE26="NE","",(IFERROR(IF(ISNUMBER(AE26),AE26,VALUE(AE26)),0)/2)*$F26*$F$22*20))</f>
        <v/>
      </c>
      <c r="AG26" s="25">
        <f>IF(AE26="","◄",IF(AE26="NE","~",""))</f>
        <v/>
      </c>
      <c r="AH26" s="23" t="n"/>
      <c r="AI26" s="24">
        <f>IF(AH26="","",IF(AH26="NE","",(IFERROR(IF(ISNUMBER(AH26),AH26,VALUE(AH26)),0)/2)*$F26*$F$22*20))</f>
        <v/>
      </c>
      <c r="AJ26" s="25">
        <f>IF(AH26="","◄",IF(AH26="NE","~",""))</f>
        <v/>
      </c>
      <c r="AK26" s="23" t="n"/>
      <c r="AL26" s="24">
        <f>IF(AK26="","",IF(AK26="NE","",(IFERROR(IF(ISNUMBER(AK26),AK26,VALUE(AK26)),0)/2)*$F26*$F$22*20))</f>
        <v/>
      </c>
      <c r="AM26" s="25">
        <f>IF(AK26="","◄",IF(AK26="NE","~",""))</f>
        <v/>
      </c>
      <c r="AN26" s="23" t="n"/>
      <c r="AO26" s="24">
        <f>IF(AN26="","",IF(AN26="NE","",(IFERROR(IF(ISNUMBER(AN26),AN26,VALUE(AN26)),0)/2)*$F26*$F$22*20))</f>
        <v/>
      </c>
      <c r="AP26" s="25">
        <f>IF(AN26="","◄",IF(AN26="NE","~",""))</f>
        <v/>
      </c>
      <c r="AQ26" s="23" t="n"/>
      <c r="AR26" s="24">
        <f>IF(AQ26="","",IF(AQ26="NE","",(IFERROR(IF(ISNUMBER(AQ26),AQ26,VALUE(AQ26)),0)/2)*$F26*$F$22*20))</f>
        <v/>
      </c>
      <c r="AS26" s="25">
        <f>IF(AQ26="","◄",IF(AQ26="NE","~",""))</f>
        <v/>
      </c>
      <c r="AT26" s="23" t="n"/>
      <c r="AU26" s="24">
        <f>IF(AT26="","",IF(AT26="NE","",(IFERROR(IF(ISNUMBER(AT26),AT26,VALUE(AT26)),0)/2)*$F26*$F$22*20))</f>
        <v/>
      </c>
      <c r="AV26" s="25">
        <f>IF(AT26="","◄",IF(AT26="NE","~",""))</f>
        <v/>
      </c>
      <c r="AW26" s="23" t="n"/>
      <c r="AX26" s="24">
        <f>IF(AW26="","",IF(AW26="NE","",(IFERROR(IF(ISNUMBER(AW26),AW26,VALUE(AW26)),0)/2)*$F26*$F$22*20))</f>
        <v/>
      </c>
      <c r="AY26" s="25">
        <f>IF(AW26="","◄",IF(AW26="NE","~",""))</f>
        <v/>
      </c>
      <c r="AZ26" s="23" t="n"/>
      <c r="BA26" s="24">
        <f>IF(AZ26="","",IF(AZ26="NE","",(IFERROR(IF(ISNUMBER(AZ26),AZ26,VALUE(AZ26)),0)/2)*$F26*$F$22*20))</f>
        <v/>
      </c>
      <c r="BB26" s="25">
        <f>IF(AZ26="","◄",IF(AZ26="NE","~",""))</f>
        <v/>
      </c>
      <c r="BC26" s="23" t="n"/>
      <c r="BD26" s="24">
        <f>IF(BC26="","",IF(BC26="NE","",(IFERROR(IF(ISNUMBER(BC26),BC26,VALUE(BC26)),0)/2)*$F26*$F$22*20))</f>
        <v/>
      </c>
      <c r="BE26" s="25">
        <f>IF(BC26="","◄",IF(BC26="NE","~",""))</f>
        <v/>
      </c>
      <c r="BF26" s="23" t="n"/>
      <c r="BG26" s="24">
        <f>IF(BF26="","",IF(BF26="NE","",(IFERROR(IF(ISNUMBER(BF26),BF26,VALUE(BF26)),0)/2)*$F26*$F$22*20))</f>
        <v/>
      </c>
      <c r="BH26" s="25">
        <f>IF(BF26="","◄",IF(BF26="NE","~",""))</f>
        <v/>
      </c>
      <c r="BI26" s="23" t="n"/>
      <c r="BJ26" s="24">
        <f>IF(BI26="","",IF(BI26="NE","",(IFERROR(IF(ISNUMBER(BI26),BI26,VALUE(BI26)),0)/2)*$F26*$F$22*20))</f>
        <v/>
      </c>
      <c r="BK26" s="25">
        <f>IF(BI26="","◄",IF(BI26="NE","~",""))</f>
        <v/>
      </c>
      <c r="BL26" s="23" t="n"/>
      <c r="BM26" s="24">
        <f>IF(BL26="","",IF(BL26="NE","",(IFERROR(IF(ISNUMBER(BL26),BL26,VALUE(BL26)),0)/2)*$F26*$F$22*20))</f>
        <v/>
      </c>
      <c r="BN26" s="25">
        <f>IF(BL26="","◄",IF(BL26="NE","~",""))</f>
        <v/>
      </c>
      <c r="BO26" s="23" t="n"/>
      <c r="BP26" s="24">
        <f>IF(BO26="","",IF(BO26="NE","",(IFERROR(IF(ISNUMBER(BO26),BO26,VALUE(BO26)),0)/2)*$F26*$F$22*20))</f>
        <v/>
      </c>
      <c r="BQ26" s="25">
        <f>IF(BO26="","◄",IF(BO26="NE","~",""))</f>
        <v/>
      </c>
      <c r="BR26" s="23" t="n"/>
      <c r="BS26" s="24">
        <f>IF(BR26="","",IF(BR26="NE","",(IFERROR(IF(ISNUMBER(BR26),BR26,VALUE(BR26)),0)/2)*$F26*$F$22*20))</f>
        <v/>
      </c>
      <c r="BT26" s="25">
        <f>IF(BR26="","◄",IF(BR26="NE","~",""))</f>
        <v/>
      </c>
      <c r="BU26" s="23" t="n"/>
      <c r="BV26" s="24">
        <f>IF(BU26="","",IF(BU26="NE","",(IFERROR(IF(ISNUMBER(BU26),BU26,VALUE(BU26)),0)/2)*$F26*$F$22*20))</f>
        <v/>
      </c>
      <c r="BW26" s="25">
        <f>IF(BU26="","◄",IF(BU26="NE","~",""))</f>
        <v/>
      </c>
      <c r="BX26" s="23" t="n"/>
      <c r="BY26" s="24">
        <f>IF(BX26="","",IF(BX26="NE","",(IFERROR(IF(ISNUMBER(BX26),BX26,VALUE(BX26)),0)/2)*$F26*$F$22*20))</f>
        <v/>
      </c>
      <c r="BZ26" s="25">
        <f>IF(BX26="","◄",IF(BX26="NE","~",""))</f>
        <v/>
      </c>
      <c r="CA26" s="23" t="n"/>
      <c r="CB26" s="24">
        <f>IF(CA26="","",IF(CA26="NE","",(IFERROR(IF(ISNUMBER(CA26),CA26,VALUE(CA26)),0)/2)*$F26*$F$22*20))</f>
        <v/>
      </c>
      <c r="CC26" s="25">
        <f>IF(CA26="","◄",IF(CA26="NE","~",""))</f>
        <v/>
      </c>
      <c r="CD26" s="23" t="n"/>
      <c r="CE26" s="24">
        <f>IF(CD26="","",IF(CD26="NE","",(IFERROR(IF(ISNUMBER(CD26),CD26,VALUE(CD26)),0)/2)*$F26*$F$22*20))</f>
        <v/>
      </c>
      <c r="CF26" s="25">
        <f>IF(CD26="","◄",IF(CD26="NE","~",""))</f>
        <v/>
      </c>
      <c r="CG26" s="23" t="n"/>
      <c r="CH26" s="24">
        <f>IF(CG26="","",IF(CG26="NE","",(IFERROR(IF(ISNUMBER(CG26),CG26,VALUE(CG26)),0)/2)*$F26*$F$22*20))</f>
        <v/>
      </c>
      <c r="CI26" s="25">
        <f>IF(CG26="","◄",IF(CG26="NE","~",""))</f>
        <v/>
      </c>
      <c r="CJ26" s="23" t="n"/>
      <c r="CK26" s="24">
        <f>IF(CJ26="","",IF(CJ26="NE","",(IFERROR(IF(ISNUMBER(CJ26),CJ26,VALUE(CJ26)),0)/2)*$F26*$F$22*20))</f>
        <v/>
      </c>
      <c r="CL26" s="25">
        <f>IF(CJ26="","◄",IF(CJ26="NE","~",""))</f>
        <v/>
      </c>
      <c r="CM26" s="23" t="n"/>
      <c r="CN26" s="24">
        <f>IF(CM26="","",IF(CM26="NE","",(IFERROR(IF(ISNUMBER(CM26),CM26,VALUE(CM26)),0)/2)*$F26*$F$22*20))</f>
        <v/>
      </c>
      <c r="CO26" s="25">
        <f>IF(CM26="","◄",IF(CM26="NE","~",""))</f>
        <v/>
      </c>
      <c r="CP26" s="23" t="n"/>
      <c r="CQ26" s="24">
        <f>IF(CP26="","",IF(CP26="NE","",(IFERROR(IF(ISNUMBER(CP26),CP26,VALUE(CP26)),0)/2)*$F26*$F$22*20))</f>
        <v/>
      </c>
      <c r="CR26" s="25">
        <f>IF(CP26="","◄",IF(CP26="NE","~",""))</f>
        <v/>
      </c>
    </row>
    <row r="27" ht="22" customHeight="1">
      <c r="A27" s="14" t="inlineStr"/>
      <c r="B27" s="15" t="inlineStr">
        <is>
          <t>P4</t>
        </is>
      </c>
      <c r="C27" s="14" t="inlineStr"/>
      <c r="D27" s="16" t="inlineStr">
        <is>
          <t>Partie</t>
        </is>
      </c>
      <c r="E27" s="17" t="inlineStr">
        <is>
          <t>Comment justifier l'utilisation d'un séparateur de boues biologiques ?</t>
        </is>
      </c>
      <c r="F27" s="18" t="n">
        <v>0.2</v>
      </c>
      <c r="G27" s="14" t="n"/>
      <c r="H27" s="19">
        <f>IFERROR(SUM(H28:H34)/(SUMPRODUCT(($F$28:$F$34)*(G28:G34&lt;&gt;"")*(G28:G34&lt;&gt;"NE"))*$F$27),"")</f>
        <v/>
      </c>
      <c r="I27" s="14" t="n"/>
      <c r="J27" s="14" t="n"/>
      <c r="K27" s="19">
        <f>IFERROR(SUM(K28:K34)/(SUMPRODUCT(($F$28:$F$34)*(J28:J34&lt;&gt;"")*(J28:J34&lt;&gt;"NE"))*$F$27),"")</f>
        <v/>
      </c>
      <c r="L27" s="14" t="n"/>
      <c r="M27" s="14" t="n"/>
      <c r="N27" s="19">
        <f>IFERROR(SUM(N28:N34)/(SUMPRODUCT(($F$28:$F$34)*(M28:M34&lt;&gt;"")*(M28:M34&lt;&gt;"NE"))*$F$27),"")</f>
        <v/>
      </c>
      <c r="O27" s="14" t="n"/>
      <c r="P27" s="14" t="n"/>
      <c r="Q27" s="19">
        <f>IFERROR(SUM(Q28:Q34)/(SUMPRODUCT(($F$28:$F$34)*(P28:P34&lt;&gt;"")*(P28:P34&lt;&gt;"NE"))*$F$27),"")</f>
        <v/>
      </c>
      <c r="R27" s="14" t="n"/>
      <c r="S27" s="14" t="n"/>
      <c r="T27" s="19">
        <f>IFERROR(SUM(T28:T34)/(SUMPRODUCT(($F$28:$F$34)*(S28:S34&lt;&gt;"")*(S28:S34&lt;&gt;"NE"))*$F$27),"")</f>
        <v/>
      </c>
      <c r="U27" s="14" t="n"/>
      <c r="V27" s="14" t="n"/>
      <c r="W27" s="19">
        <f>IFERROR(SUM(W28:W34)/(SUMPRODUCT(($F$28:$F$34)*(V28:V34&lt;&gt;"")*(V28:V34&lt;&gt;"NE"))*$F$27),"")</f>
        <v/>
      </c>
      <c r="X27" s="14" t="n"/>
      <c r="Y27" s="14" t="n"/>
      <c r="Z27" s="19">
        <f>IFERROR(SUM(Z28:Z34)/(SUMPRODUCT(($F$28:$F$34)*(Y28:Y34&lt;&gt;"")*(Y28:Y34&lt;&gt;"NE"))*$F$27),"")</f>
        <v/>
      </c>
      <c r="AA27" s="14" t="n"/>
      <c r="AB27" s="14" t="n"/>
      <c r="AC27" s="19">
        <f>IFERROR(SUM(AC28:AC34)/(SUMPRODUCT(($F$28:$F$34)*(AB28:AB34&lt;&gt;"")*(AB28:AB34&lt;&gt;"NE"))*$F$27),"")</f>
        <v/>
      </c>
      <c r="AD27" s="14" t="n"/>
      <c r="AE27" s="14" t="n"/>
      <c r="AF27" s="19">
        <f>IFERROR(SUM(AF28:AF34)/(SUMPRODUCT(($F$28:$F$34)*(AE28:AE34&lt;&gt;"")*(AE28:AE34&lt;&gt;"NE"))*$F$27),"")</f>
        <v/>
      </c>
      <c r="AG27" s="14" t="n"/>
      <c r="AH27" s="14" t="n"/>
      <c r="AI27" s="19">
        <f>IFERROR(SUM(AI28:AI34)/(SUMPRODUCT(($F$28:$F$34)*(AH28:AH34&lt;&gt;"")*(AH28:AH34&lt;&gt;"NE"))*$F$27),"")</f>
        <v/>
      </c>
      <c r="AJ27" s="14" t="n"/>
      <c r="AK27" s="14" t="n"/>
      <c r="AL27" s="19">
        <f>IFERROR(SUM(AL28:AL34)/(SUMPRODUCT(($F$28:$F$34)*(AK28:AK34&lt;&gt;"")*(AK28:AK34&lt;&gt;"NE"))*$F$27),"")</f>
        <v/>
      </c>
      <c r="AM27" s="14" t="n"/>
      <c r="AN27" s="14" t="n"/>
      <c r="AO27" s="19">
        <f>IFERROR(SUM(AO28:AO34)/(SUMPRODUCT(($F$28:$F$34)*(AN28:AN34&lt;&gt;"")*(AN28:AN34&lt;&gt;"NE"))*$F$27),"")</f>
        <v/>
      </c>
      <c r="AP27" s="14" t="n"/>
      <c r="AQ27" s="14" t="n"/>
      <c r="AR27" s="19">
        <f>IFERROR(SUM(AR28:AR34)/(SUMPRODUCT(($F$28:$F$34)*(AQ28:AQ34&lt;&gt;"")*(AQ28:AQ34&lt;&gt;"NE"))*$F$27),"")</f>
        <v/>
      </c>
      <c r="AS27" s="14" t="n"/>
      <c r="AT27" s="14" t="n"/>
      <c r="AU27" s="19">
        <f>IFERROR(SUM(AU28:AU34)/(SUMPRODUCT(($F$28:$F$34)*(AT28:AT34&lt;&gt;"")*(AT28:AT34&lt;&gt;"NE"))*$F$27),"")</f>
        <v/>
      </c>
      <c r="AV27" s="14" t="n"/>
      <c r="AW27" s="14" t="n"/>
      <c r="AX27" s="19">
        <f>IFERROR(SUM(AX28:AX34)/(SUMPRODUCT(($F$28:$F$34)*(AW28:AW34&lt;&gt;"")*(AW28:AW34&lt;&gt;"NE"))*$F$27),"")</f>
        <v/>
      </c>
      <c r="AY27" s="14" t="n"/>
      <c r="AZ27" s="14" t="n"/>
      <c r="BA27" s="19">
        <f>IFERROR(SUM(BA28:BA34)/(SUMPRODUCT(($F$28:$F$34)*(AZ28:AZ34&lt;&gt;"")*(AZ28:AZ34&lt;&gt;"NE"))*$F$27),"")</f>
        <v/>
      </c>
      <c r="BB27" s="14" t="n"/>
      <c r="BC27" s="14" t="n"/>
      <c r="BD27" s="19">
        <f>IFERROR(SUM(BD28:BD34)/(SUMPRODUCT(($F$28:$F$34)*(BC28:BC34&lt;&gt;"")*(BC28:BC34&lt;&gt;"NE"))*$F$27),"")</f>
        <v/>
      </c>
      <c r="BE27" s="14" t="n"/>
      <c r="BF27" s="14" t="n"/>
      <c r="BG27" s="19">
        <f>IFERROR(SUM(BG28:BG34)/(SUMPRODUCT(($F$28:$F$34)*(BF28:BF34&lt;&gt;"")*(BF28:BF34&lt;&gt;"NE"))*$F$27),"")</f>
        <v/>
      </c>
      <c r="BH27" s="14" t="n"/>
      <c r="BI27" s="14" t="n"/>
      <c r="BJ27" s="19">
        <f>IFERROR(SUM(BJ28:BJ34)/(SUMPRODUCT(($F$28:$F$34)*(BI28:BI34&lt;&gt;"")*(BI28:BI34&lt;&gt;"NE"))*$F$27),"")</f>
        <v/>
      </c>
      <c r="BK27" s="14" t="n"/>
      <c r="BL27" s="14" t="n"/>
      <c r="BM27" s="19">
        <f>IFERROR(SUM(BM28:BM34)/(SUMPRODUCT(($F$28:$F$34)*(BL28:BL34&lt;&gt;"")*(BL28:BL34&lt;&gt;"NE"))*$F$27),"")</f>
        <v/>
      </c>
      <c r="BN27" s="14" t="n"/>
      <c r="BO27" s="14" t="n"/>
      <c r="BP27" s="19">
        <f>IFERROR(SUM(BP28:BP34)/(SUMPRODUCT(($F$28:$F$34)*(BO28:BO34&lt;&gt;"")*(BO28:BO34&lt;&gt;"NE"))*$F$27),"")</f>
        <v/>
      </c>
      <c r="BQ27" s="14" t="n"/>
      <c r="BR27" s="14" t="n"/>
      <c r="BS27" s="19">
        <f>IFERROR(SUM(BS28:BS34)/(SUMPRODUCT(($F$28:$F$34)*(BR28:BR34&lt;&gt;"")*(BR28:BR34&lt;&gt;"NE"))*$F$27),"")</f>
        <v/>
      </c>
      <c r="BT27" s="14" t="n"/>
      <c r="BU27" s="14" t="n"/>
      <c r="BV27" s="19">
        <f>IFERROR(SUM(BV28:BV34)/(SUMPRODUCT(($F$28:$F$34)*(BU28:BU34&lt;&gt;"")*(BU28:BU34&lt;&gt;"NE"))*$F$27),"")</f>
        <v/>
      </c>
      <c r="BW27" s="14" t="n"/>
      <c r="BX27" s="14" t="n"/>
      <c r="BY27" s="19">
        <f>IFERROR(SUM(BY28:BY34)/(SUMPRODUCT(($F$28:$F$34)*(BX28:BX34&lt;&gt;"")*(BX28:BX34&lt;&gt;"NE"))*$F$27),"")</f>
        <v/>
      </c>
      <c r="BZ27" s="14" t="n"/>
      <c r="CA27" s="14" t="n"/>
      <c r="CB27" s="19">
        <f>IFERROR(SUM(CB28:CB34)/(SUMPRODUCT(($F$28:$F$34)*(CA28:CA34&lt;&gt;"")*(CA28:CA34&lt;&gt;"NE"))*$F$27),"")</f>
        <v/>
      </c>
      <c r="CC27" s="14" t="n"/>
      <c r="CD27" s="14" t="n"/>
      <c r="CE27" s="19">
        <f>IFERROR(SUM(CE28:CE34)/(SUMPRODUCT(($F$28:$F$34)*(CD28:CD34&lt;&gt;"")*(CD28:CD34&lt;&gt;"NE"))*$F$27),"")</f>
        <v/>
      </c>
      <c r="CF27" s="14" t="n"/>
      <c r="CG27" s="14" t="n"/>
      <c r="CH27" s="19">
        <f>IFERROR(SUM(CH28:CH34)/(SUMPRODUCT(($F$28:$F$34)*(CG28:CG34&lt;&gt;"")*(CG28:CG34&lt;&gt;"NE"))*$F$27),"")</f>
        <v/>
      </c>
      <c r="CI27" s="14" t="n"/>
      <c r="CJ27" s="14" t="n"/>
      <c r="CK27" s="19">
        <f>IFERROR(SUM(CK28:CK34)/(SUMPRODUCT(($F$28:$F$34)*(CJ28:CJ34&lt;&gt;"")*(CJ28:CJ34&lt;&gt;"NE"))*$F$27),"")</f>
        <v/>
      </c>
      <c r="CL27" s="14" t="n"/>
      <c r="CM27" s="14" t="n"/>
      <c r="CN27" s="19">
        <f>IFERROR(SUM(CN28:CN34)/(SUMPRODUCT(($F$28:$F$34)*(CM28:CM34&lt;&gt;"")*(CM28:CM34&lt;&gt;"NE"))*$F$27),"")</f>
        <v/>
      </c>
      <c r="CO27" s="14" t="n"/>
      <c r="CP27" s="14" t="n"/>
      <c r="CQ27" s="19">
        <f>IFERROR(SUM(CQ28:CQ34)/(SUMPRODUCT(($F$28:$F$34)*(CP28:CP34&lt;&gt;"")*(CP28:CP34&lt;&gt;"NE"))*$F$27),"")</f>
        <v/>
      </c>
      <c r="CR27" s="14" t="n"/>
    </row>
    <row r="28" ht="36" customHeight="1">
      <c r="A28" s="20" t="n">
        <v>20</v>
      </c>
      <c r="B28" s="20" t="inlineStr">
        <is>
          <t>P4</t>
        </is>
      </c>
      <c r="C28" s="20" t="inlineStr">
        <is>
          <t>Q4.1</t>
        </is>
      </c>
      <c r="D28" s="20" t="inlineStr">
        <is>
          <t>Critère</t>
        </is>
      </c>
      <c r="E28" s="21" t="inlineStr">
        <is>
          <t>Flux entrant : énergie électrique.</t>
        </is>
      </c>
      <c r="F28" s="22" t="n">
        <v>0.15</v>
      </c>
      <c r="G28" s="23" t="n"/>
      <c r="H28" s="24">
        <f>IF(G28="","",IF(G28="NE","",(IFERROR(IF(ISNUMBER(G28),G28,VALUE(G28)),0)/2)*$F28*$F$27*20))</f>
        <v/>
      </c>
      <c r="I28" s="25">
        <f>IF(G28="","◄",IF(G28="NE","~",""))</f>
        <v/>
      </c>
      <c r="J28" s="23" t="n"/>
      <c r="K28" s="24">
        <f>IF(J28="","",IF(J28="NE","",(IFERROR(IF(ISNUMBER(J28),J28,VALUE(J28)),0)/2)*$F28*$F$27*20))</f>
        <v/>
      </c>
      <c r="L28" s="25">
        <f>IF(J28="","◄",IF(J28="NE","~",""))</f>
        <v/>
      </c>
      <c r="M28" s="23" t="n"/>
      <c r="N28" s="24">
        <f>IF(M28="","",IF(M28="NE","",(IFERROR(IF(ISNUMBER(M28),M28,VALUE(M28)),0)/2)*$F28*$F$27*20))</f>
        <v/>
      </c>
      <c r="O28" s="25">
        <f>IF(M28="","◄",IF(M28="NE","~",""))</f>
        <v/>
      </c>
      <c r="P28" s="23" t="n"/>
      <c r="Q28" s="24">
        <f>IF(P28="","",IF(P28="NE","",(IFERROR(IF(ISNUMBER(P28),P28,VALUE(P28)),0)/2)*$F28*$F$27*20))</f>
        <v/>
      </c>
      <c r="R28" s="25">
        <f>IF(P28="","◄",IF(P28="NE","~",""))</f>
        <v/>
      </c>
      <c r="S28" s="23" t="n"/>
      <c r="T28" s="24">
        <f>IF(S28="","",IF(S28="NE","",(IFERROR(IF(ISNUMBER(S28),S28,VALUE(S28)),0)/2)*$F28*$F$27*20))</f>
        <v/>
      </c>
      <c r="U28" s="25">
        <f>IF(S28="","◄",IF(S28="NE","~",""))</f>
        <v/>
      </c>
      <c r="V28" s="23" t="n"/>
      <c r="W28" s="24">
        <f>IF(V28="","",IF(V28="NE","",(IFERROR(IF(ISNUMBER(V28),V28,VALUE(V28)),0)/2)*$F28*$F$27*20))</f>
        <v/>
      </c>
      <c r="X28" s="25">
        <f>IF(V28="","◄",IF(V28="NE","~",""))</f>
        <v/>
      </c>
      <c r="Y28" s="23" t="n"/>
      <c r="Z28" s="24">
        <f>IF(Y28="","",IF(Y28="NE","",(IFERROR(IF(ISNUMBER(Y28),Y28,VALUE(Y28)),0)/2)*$F28*$F$27*20))</f>
        <v/>
      </c>
      <c r="AA28" s="25">
        <f>IF(Y28="","◄",IF(Y28="NE","~",""))</f>
        <v/>
      </c>
      <c r="AB28" s="23" t="n"/>
      <c r="AC28" s="24">
        <f>IF(AB28="","",IF(AB28="NE","",(IFERROR(IF(ISNUMBER(AB28),AB28,VALUE(AB28)),0)/2)*$F28*$F$27*20))</f>
        <v/>
      </c>
      <c r="AD28" s="25">
        <f>IF(AB28="","◄",IF(AB28="NE","~",""))</f>
        <v/>
      </c>
      <c r="AE28" s="23" t="n"/>
      <c r="AF28" s="24">
        <f>IF(AE28="","",IF(AE28="NE","",(IFERROR(IF(ISNUMBER(AE28),AE28,VALUE(AE28)),0)/2)*$F28*$F$27*20))</f>
        <v/>
      </c>
      <c r="AG28" s="25">
        <f>IF(AE28="","◄",IF(AE28="NE","~",""))</f>
        <v/>
      </c>
      <c r="AH28" s="23" t="n"/>
      <c r="AI28" s="24">
        <f>IF(AH28="","",IF(AH28="NE","",(IFERROR(IF(ISNUMBER(AH28),AH28,VALUE(AH28)),0)/2)*$F28*$F$27*20))</f>
        <v/>
      </c>
      <c r="AJ28" s="25">
        <f>IF(AH28="","◄",IF(AH28="NE","~",""))</f>
        <v/>
      </c>
      <c r="AK28" s="23" t="n"/>
      <c r="AL28" s="24">
        <f>IF(AK28="","",IF(AK28="NE","",(IFERROR(IF(ISNUMBER(AK28),AK28,VALUE(AK28)),0)/2)*$F28*$F$27*20))</f>
        <v/>
      </c>
      <c r="AM28" s="25">
        <f>IF(AK28="","◄",IF(AK28="NE","~",""))</f>
        <v/>
      </c>
      <c r="AN28" s="23" t="n"/>
      <c r="AO28" s="24">
        <f>IF(AN28="","",IF(AN28="NE","",(IFERROR(IF(ISNUMBER(AN28),AN28,VALUE(AN28)),0)/2)*$F28*$F$27*20))</f>
        <v/>
      </c>
      <c r="AP28" s="25">
        <f>IF(AN28="","◄",IF(AN28="NE","~",""))</f>
        <v/>
      </c>
      <c r="AQ28" s="23" t="n"/>
      <c r="AR28" s="24">
        <f>IF(AQ28="","",IF(AQ28="NE","",(IFERROR(IF(ISNUMBER(AQ28),AQ28,VALUE(AQ28)),0)/2)*$F28*$F$27*20))</f>
        <v/>
      </c>
      <c r="AS28" s="25">
        <f>IF(AQ28="","◄",IF(AQ28="NE","~",""))</f>
        <v/>
      </c>
      <c r="AT28" s="23" t="n"/>
      <c r="AU28" s="24">
        <f>IF(AT28="","",IF(AT28="NE","",(IFERROR(IF(ISNUMBER(AT28),AT28,VALUE(AT28)),0)/2)*$F28*$F$27*20))</f>
        <v/>
      </c>
      <c r="AV28" s="25">
        <f>IF(AT28="","◄",IF(AT28="NE","~",""))</f>
        <v/>
      </c>
      <c r="AW28" s="23" t="n"/>
      <c r="AX28" s="24">
        <f>IF(AW28="","",IF(AW28="NE","",(IFERROR(IF(ISNUMBER(AW28),AW28,VALUE(AW28)),0)/2)*$F28*$F$27*20))</f>
        <v/>
      </c>
      <c r="AY28" s="25">
        <f>IF(AW28="","◄",IF(AW28="NE","~",""))</f>
        <v/>
      </c>
      <c r="AZ28" s="23" t="n"/>
      <c r="BA28" s="24">
        <f>IF(AZ28="","",IF(AZ28="NE","",(IFERROR(IF(ISNUMBER(AZ28),AZ28,VALUE(AZ28)),0)/2)*$F28*$F$27*20))</f>
        <v/>
      </c>
      <c r="BB28" s="25">
        <f>IF(AZ28="","◄",IF(AZ28="NE","~",""))</f>
        <v/>
      </c>
      <c r="BC28" s="23" t="n"/>
      <c r="BD28" s="24">
        <f>IF(BC28="","",IF(BC28="NE","",(IFERROR(IF(ISNUMBER(BC28),BC28,VALUE(BC28)),0)/2)*$F28*$F$27*20))</f>
        <v/>
      </c>
      <c r="BE28" s="25">
        <f>IF(BC28="","◄",IF(BC28="NE","~",""))</f>
        <v/>
      </c>
      <c r="BF28" s="23" t="n"/>
      <c r="BG28" s="24">
        <f>IF(BF28="","",IF(BF28="NE","",(IFERROR(IF(ISNUMBER(BF28),BF28,VALUE(BF28)),0)/2)*$F28*$F$27*20))</f>
        <v/>
      </c>
      <c r="BH28" s="25">
        <f>IF(BF28="","◄",IF(BF28="NE","~",""))</f>
        <v/>
      </c>
      <c r="BI28" s="23" t="n"/>
      <c r="BJ28" s="24">
        <f>IF(BI28="","",IF(BI28="NE","",(IFERROR(IF(ISNUMBER(BI28),BI28,VALUE(BI28)),0)/2)*$F28*$F$27*20))</f>
        <v/>
      </c>
      <c r="BK28" s="25">
        <f>IF(BI28="","◄",IF(BI28="NE","~",""))</f>
        <v/>
      </c>
      <c r="BL28" s="23" t="n"/>
      <c r="BM28" s="24">
        <f>IF(BL28="","",IF(BL28="NE","",(IFERROR(IF(ISNUMBER(BL28),BL28,VALUE(BL28)),0)/2)*$F28*$F$27*20))</f>
        <v/>
      </c>
      <c r="BN28" s="25">
        <f>IF(BL28="","◄",IF(BL28="NE","~",""))</f>
        <v/>
      </c>
      <c r="BO28" s="23" t="n"/>
      <c r="BP28" s="24">
        <f>IF(BO28="","",IF(BO28="NE","",(IFERROR(IF(ISNUMBER(BO28),BO28,VALUE(BO28)),0)/2)*$F28*$F$27*20))</f>
        <v/>
      </c>
      <c r="BQ28" s="25">
        <f>IF(BO28="","◄",IF(BO28="NE","~",""))</f>
        <v/>
      </c>
      <c r="BR28" s="23" t="n"/>
      <c r="BS28" s="24">
        <f>IF(BR28="","",IF(BR28="NE","",(IFERROR(IF(ISNUMBER(BR28),BR28,VALUE(BR28)),0)/2)*$F28*$F$27*20))</f>
        <v/>
      </c>
      <c r="BT28" s="25">
        <f>IF(BR28="","◄",IF(BR28="NE","~",""))</f>
        <v/>
      </c>
      <c r="BU28" s="23" t="n"/>
      <c r="BV28" s="24">
        <f>IF(BU28="","",IF(BU28="NE","",(IFERROR(IF(ISNUMBER(BU28),BU28,VALUE(BU28)),0)/2)*$F28*$F$27*20))</f>
        <v/>
      </c>
      <c r="BW28" s="25">
        <f>IF(BU28="","◄",IF(BU28="NE","~",""))</f>
        <v/>
      </c>
      <c r="BX28" s="23" t="n"/>
      <c r="BY28" s="24">
        <f>IF(BX28="","",IF(BX28="NE","",(IFERROR(IF(ISNUMBER(BX28),BX28,VALUE(BX28)),0)/2)*$F28*$F$27*20))</f>
        <v/>
      </c>
      <c r="BZ28" s="25">
        <f>IF(BX28="","◄",IF(BX28="NE","~",""))</f>
        <v/>
      </c>
      <c r="CA28" s="23" t="n"/>
      <c r="CB28" s="24">
        <f>IF(CA28="","",IF(CA28="NE","",(IFERROR(IF(ISNUMBER(CA28),CA28,VALUE(CA28)),0)/2)*$F28*$F$27*20))</f>
        <v/>
      </c>
      <c r="CC28" s="25">
        <f>IF(CA28="","◄",IF(CA28="NE","~",""))</f>
        <v/>
      </c>
      <c r="CD28" s="23" t="n"/>
      <c r="CE28" s="24">
        <f>IF(CD28="","",IF(CD28="NE","",(IFERROR(IF(ISNUMBER(CD28),CD28,VALUE(CD28)),0)/2)*$F28*$F$27*20))</f>
        <v/>
      </c>
      <c r="CF28" s="25">
        <f>IF(CD28="","◄",IF(CD28="NE","~",""))</f>
        <v/>
      </c>
      <c r="CG28" s="23" t="n"/>
      <c r="CH28" s="24">
        <f>IF(CG28="","",IF(CG28="NE","",(IFERROR(IF(ISNUMBER(CG28),CG28,VALUE(CG28)),0)/2)*$F28*$F$27*20))</f>
        <v/>
      </c>
      <c r="CI28" s="25">
        <f>IF(CG28="","◄",IF(CG28="NE","~",""))</f>
        <v/>
      </c>
      <c r="CJ28" s="23" t="n"/>
      <c r="CK28" s="24">
        <f>IF(CJ28="","",IF(CJ28="NE","",(IFERROR(IF(ISNUMBER(CJ28),CJ28,VALUE(CJ28)),0)/2)*$F28*$F$27*20))</f>
        <v/>
      </c>
      <c r="CL28" s="25">
        <f>IF(CJ28="","◄",IF(CJ28="NE","~",""))</f>
        <v/>
      </c>
      <c r="CM28" s="23" t="n"/>
      <c r="CN28" s="24">
        <f>IF(CM28="","",IF(CM28="NE","",(IFERROR(IF(ISNUMBER(CM28),CM28,VALUE(CM28)),0)/2)*$F28*$F$27*20))</f>
        <v/>
      </c>
      <c r="CO28" s="25">
        <f>IF(CM28="","◄",IF(CM28="NE","~",""))</f>
        <v/>
      </c>
      <c r="CP28" s="23" t="n"/>
      <c r="CQ28" s="24">
        <f>IF(CP28="","",IF(CP28="NE","",(IFERROR(IF(ISNUMBER(CP28),CP28,VALUE(CP28)),0)/2)*$F28*$F$27*20))</f>
        <v/>
      </c>
      <c r="CR28" s="25">
        <f>IF(CP28="","◄",IF(CP28="NE","~",""))</f>
        <v/>
      </c>
    </row>
    <row r="29" ht="36" customHeight="1">
      <c r="A29" s="20" t="n">
        <v>21</v>
      </c>
      <c r="B29" s="20" t="inlineStr">
        <is>
          <t>P4</t>
        </is>
      </c>
      <c r="C29" s="20" t="inlineStr">
        <is>
          <t>Q4.1</t>
        </is>
      </c>
      <c r="D29" s="20" t="inlineStr">
        <is>
          <t>Critère</t>
        </is>
      </c>
      <c r="E29" s="21" t="inlineStr">
        <is>
          <t>Flux interne : énergie mécanique (variateur → moteur).</t>
        </is>
      </c>
      <c r="F29" s="22" t="n">
        <v>0.15</v>
      </c>
      <c r="G29" s="23" t="n"/>
      <c r="H29" s="24">
        <f>IF(G29="","",IF(G29="NE","",(IFERROR(IF(ISNUMBER(G29),G29,VALUE(G29)),0)/2)*$F29*$F$27*20))</f>
        <v/>
      </c>
      <c r="I29" s="25">
        <f>IF(G29="","◄",IF(G29="NE","~",""))</f>
        <v/>
      </c>
      <c r="J29" s="23" t="n"/>
      <c r="K29" s="24">
        <f>IF(J29="","",IF(J29="NE","",(IFERROR(IF(ISNUMBER(J29),J29,VALUE(J29)),0)/2)*$F29*$F$27*20))</f>
        <v/>
      </c>
      <c r="L29" s="25">
        <f>IF(J29="","◄",IF(J29="NE","~",""))</f>
        <v/>
      </c>
      <c r="M29" s="23" t="n"/>
      <c r="N29" s="24">
        <f>IF(M29="","",IF(M29="NE","",(IFERROR(IF(ISNUMBER(M29),M29,VALUE(M29)),0)/2)*$F29*$F$27*20))</f>
        <v/>
      </c>
      <c r="O29" s="25">
        <f>IF(M29="","◄",IF(M29="NE","~",""))</f>
        <v/>
      </c>
      <c r="P29" s="23" t="n"/>
      <c r="Q29" s="24">
        <f>IF(P29="","",IF(P29="NE","",(IFERROR(IF(ISNUMBER(P29),P29,VALUE(P29)),0)/2)*$F29*$F$27*20))</f>
        <v/>
      </c>
      <c r="R29" s="25">
        <f>IF(P29="","◄",IF(P29="NE","~",""))</f>
        <v/>
      </c>
      <c r="S29" s="23" t="n"/>
      <c r="T29" s="24">
        <f>IF(S29="","",IF(S29="NE","",(IFERROR(IF(ISNUMBER(S29),S29,VALUE(S29)),0)/2)*$F29*$F$27*20))</f>
        <v/>
      </c>
      <c r="U29" s="25">
        <f>IF(S29="","◄",IF(S29="NE","~",""))</f>
        <v/>
      </c>
      <c r="V29" s="23" t="n"/>
      <c r="W29" s="24">
        <f>IF(V29="","",IF(V29="NE","",(IFERROR(IF(ISNUMBER(V29),V29,VALUE(V29)),0)/2)*$F29*$F$27*20))</f>
        <v/>
      </c>
      <c r="X29" s="25">
        <f>IF(V29="","◄",IF(V29="NE","~",""))</f>
        <v/>
      </c>
      <c r="Y29" s="23" t="n"/>
      <c r="Z29" s="24">
        <f>IF(Y29="","",IF(Y29="NE","",(IFERROR(IF(ISNUMBER(Y29),Y29,VALUE(Y29)),0)/2)*$F29*$F$27*20))</f>
        <v/>
      </c>
      <c r="AA29" s="25">
        <f>IF(Y29="","◄",IF(Y29="NE","~",""))</f>
        <v/>
      </c>
      <c r="AB29" s="23" t="n"/>
      <c r="AC29" s="24">
        <f>IF(AB29="","",IF(AB29="NE","",(IFERROR(IF(ISNUMBER(AB29),AB29,VALUE(AB29)),0)/2)*$F29*$F$27*20))</f>
        <v/>
      </c>
      <c r="AD29" s="25">
        <f>IF(AB29="","◄",IF(AB29="NE","~",""))</f>
        <v/>
      </c>
      <c r="AE29" s="23" t="n"/>
      <c r="AF29" s="24">
        <f>IF(AE29="","",IF(AE29="NE","",(IFERROR(IF(ISNUMBER(AE29),AE29,VALUE(AE29)),0)/2)*$F29*$F$27*20))</f>
        <v/>
      </c>
      <c r="AG29" s="25">
        <f>IF(AE29="","◄",IF(AE29="NE","~",""))</f>
        <v/>
      </c>
      <c r="AH29" s="23" t="n"/>
      <c r="AI29" s="24">
        <f>IF(AH29="","",IF(AH29="NE","",(IFERROR(IF(ISNUMBER(AH29),AH29,VALUE(AH29)),0)/2)*$F29*$F$27*20))</f>
        <v/>
      </c>
      <c r="AJ29" s="25">
        <f>IF(AH29="","◄",IF(AH29="NE","~",""))</f>
        <v/>
      </c>
      <c r="AK29" s="23" t="n"/>
      <c r="AL29" s="24">
        <f>IF(AK29="","",IF(AK29="NE","",(IFERROR(IF(ISNUMBER(AK29),AK29,VALUE(AK29)),0)/2)*$F29*$F$27*20))</f>
        <v/>
      </c>
      <c r="AM29" s="25">
        <f>IF(AK29="","◄",IF(AK29="NE","~",""))</f>
        <v/>
      </c>
      <c r="AN29" s="23" t="n"/>
      <c r="AO29" s="24">
        <f>IF(AN29="","",IF(AN29="NE","",(IFERROR(IF(ISNUMBER(AN29),AN29,VALUE(AN29)),0)/2)*$F29*$F$27*20))</f>
        <v/>
      </c>
      <c r="AP29" s="25">
        <f>IF(AN29="","◄",IF(AN29="NE","~",""))</f>
        <v/>
      </c>
      <c r="AQ29" s="23" t="n"/>
      <c r="AR29" s="24">
        <f>IF(AQ29="","",IF(AQ29="NE","",(IFERROR(IF(ISNUMBER(AQ29),AQ29,VALUE(AQ29)),0)/2)*$F29*$F$27*20))</f>
        <v/>
      </c>
      <c r="AS29" s="25">
        <f>IF(AQ29="","◄",IF(AQ29="NE","~",""))</f>
        <v/>
      </c>
      <c r="AT29" s="23" t="n"/>
      <c r="AU29" s="24">
        <f>IF(AT29="","",IF(AT29="NE","",(IFERROR(IF(ISNUMBER(AT29),AT29,VALUE(AT29)),0)/2)*$F29*$F$27*20))</f>
        <v/>
      </c>
      <c r="AV29" s="25">
        <f>IF(AT29="","◄",IF(AT29="NE","~",""))</f>
        <v/>
      </c>
      <c r="AW29" s="23" t="n"/>
      <c r="AX29" s="24">
        <f>IF(AW29="","",IF(AW29="NE","",(IFERROR(IF(ISNUMBER(AW29),AW29,VALUE(AW29)),0)/2)*$F29*$F$27*20))</f>
        <v/>
      </c>
      <c r="AY29" s="25">
        <f>IF(AW29="","◄",IF(AW29="NE","~",""))</f>
        <v/>
      </c>
      <c r="AZ29" s="23" t="n"/>
      <c r="BA29" s="24">
        <f>IF(AZ29="","",IF(AZ29="NE","",(IFERROR(IF(ISNUMBER(AZ29),AZ29,VALUE(AZ29)),0)/2)*$F29*$F$27*20))</f>
        <v/>
      </c>
      <c r="BB29" s="25">
        <f>IF(AZ29="","◄",IF(AZ29="NE","~",""))</f>
        <v/>
      </c>
      <c r="BC29" s="23" t="n"/>
      <c r="BD29" s="24">
        <f>IF(BC29="","",IF(BC29="NE","",(IFERROR(IF(ISNUMBER(BC29),BC29,VALUE(BC29)),0)/2)*$F29*$F$27*20))</f>
        <v/>
      </c>
      <c r="BE29" s="25">
        <f>IF(BC29="","◄",IF(BC29="NE","~",""))</f>
        <v/>
      </c>
      <c r="BF29" s="23" t="n"/>
      <c r="BG29" s="24">
        <f>IF(BF29="","",IF(BF29="NE","",(IFERROR(IF(ISNUMBER(BF29),BF29,VALUE(BF29)),0)/2)*$F29*$F$27*20))</f>
        <v/>
      </c>
      <c r="BH29" s="25">
        <f>IF(BF29="","◄",IF(BF29="NE","~",""))</f>
        <v/>
      </c>
      <c r="BI29" s="23" t="n"/>
      <c r="BJ29" s="24">
        <f>IF(BI29="","",IF(BI29="NE","",(IFERROR(IF(ISNUMBER(BI29),BI29,VALUE(BI29)),0)/2)*$F29*$F$27*20))</f>
        <v/>
      </c>
      <c r="BK29" s="25">
        <f>IF(BI29="","◄",IF(BI29="NE","~",""))</f>
        <v/>
      </c>
      <c r="BL29" s="23" t="n"/>
      <c r="BM29" s="24">
        <f>IF(BL29="","",IF(BL29="NE","",(IFERROR(IF(ISNUMBER(BL29),BL29,VALUE(BL29)),0)/2)*$F29*$F$27*20))</f>
        <v/>
      </c>
      <c r="BN29" s="25">
        <f>IF(BL29="","◄",IF(BL29="NE","~",""))</f>
        <v/>
      </c>
      <c r="BO29" s="23" t="n"/>
      <c r="BP29" s="24">
        <f>IF(BO29="","",IF(BO29="NE","",(IFERROR(IF(ISNUMBER(BO29),BO29,VALUE(BO29)),0)/2)*$F29*$F$27*20))</f>
        <v/>
      </c>
      <c r="BQ29" s="25">
        <f>IF(BO29="","◄",IF(BO29="NE","~",""))</f>
        <v/>
      </c>
      <c r="BR29" s="23" t="n"/>
      <c r="BS29" s="24">
        <f>IF(BR29="","",IF(BR29="NE","",(IFERROR(IF(ISNUMBER(BR29),BR29,VALUE(BR29)),0)/2)*$F29*$F$27*20))</f>
        <v/>
      </c>
      <c r="BT29" s="25">
        <f>IF(BR29="","◄",IF(BR29="NE","~",""))</f>
        <v/>
      </c>
      <c r="BU29" s="23" t="n"/>
      <c r="BV29" s="24">
        <f>IF(BU29="","",IF(BU29="NE","",(IFERROR(IF(ISNUMBER(BU29),BU29,VALUE(BU29)),0)/2)*$F29*$F$27*20))</f>
        <v/>
      </c>
      <c r="BW29" s="25">
        <f>IF(BU29="","◄",IF(BU29="NE","~",""))</f>
        <v/>
      </c>
      <c r="BX29" s="23" t="n"/>
      <c r="BY29" s="24">
        <f>IF(BX29="","",IF(BX29="NE","",(IFERROR(IF(ISNUMBER(BX29),BX29,VALUE(BX29)),0)/2)*$F29*$F$27*20))</f>
        <v/>
      </c>
      <c r="BZ29" s="25">
        <f>IF(BX29="","◄",IF(BX29="NE","~",""))</f>
        <v/>
      </c>
      <c r="CA29" s="23" t="n"/>
      <c r="CB29" s="24">
        <f>IF(CA29="","",IF(CA29="NE","",(IFERROR(IF(ISNUMBER(CA29),CA29,VALUE(CA29)),0)/2)*$F29*$F$27*20))</f>
        <v/>
      </c>
      <c r="CC29" s="25">
        <f>IF(CA29="","◄",IF(CA29="NE","~",""))</f>
        <v/>
      </c>
      <c r="CD29" s="23" t="n"/>
      <c r="CE29" s="24">
        <f>IF(CD29="","",IF(CD29="NE","",(IFERROR(IF(ISNUMBER(CD29),CD29,VALUE(CD29)),0)/2)*$F29*$F$27*20))</f>
        <v/>
      </c>
      <c r="CF29" s="25">
        <f>IF(CD29="","◄",IF(CD29="NE","~",""))</f>
        <v/>
      </c>
      <c r="CG29" s="23" t="n"/>
      <c r="CH29" s="24">
        <f>IF(CG29="","",IF(CG29="NE","",(IFERROR(IF(ISNUMBER(CG29),CG29,VALUE(CG29)),0)/2)*$F29*$F$27*20))</f>
        <v/>
      </c>
      <c r="CI29" s="25">
        <f>IF(CG29="","◄",IF(CG29="NE","~",""))</f>
        <v/>
      </c>
      <c r="CJ29" s="23" t="n"/>
      <c r="CK29" s="24">
        <f>IF(CJ29="","",IF(CJ29="NE","",(IFERROR(IF(ISNUMBER(CJ29),CJ29,VALUE(CJ29)),0)/2)*$F29*$F$27*20))</f>
        <v/>
      </c>
      <c r="CL29" s="25">
        <f>IF(CJ29="","◄",IF(CJ29="NE","~",""))</f>
        <v/>
      </c>
      <c r="CM29" s="23" t="n"/>
      <c r="CN29" s="24">
        <f>IF(CM29="","",IF(CM29="NE","",(IFERROR(IF(ISNUMBER(CM29),CM29,VALUE(CM29)),0)/2)*$F29*$F$27*20))</f>
        <v/>
      </c>
      <c r="CO29" s="25">
        <f>IF(CM29="","◄",IF(CM29="NE","~",""))</f>
        <v/>
      </c>
      <c r="CP29" s="23" t="n"/>
      <c r="CQ29" s="24">
        <f>IF(CP29="","",IF(CP29="NE","",(IFERROR(IF(ISNUMBER(CP29),CP29,VALUE(CP29)),0)/2)*$F29*$F$27*20))</f>
        <v/>
      </c>
      <c r="CR29" s="25">
        <f>IF(CP29="","◄",IF(CP29="NE","~",""))</f>
        <v/>
      </c>
    </row>
    <row r="30" ht="36" customHeight="1">
      <c r="A30" s="20" t="n">
        <v>22</v>
      </c>
      <c r="B30" s="20" t="inlineStr">
        <is>
          <t>P4</t>
        </is>
      </c>
      <c r="C30" s="20" t="inlineStr">
        <is>
          <t>Q4.1</t>
        </is>
      </c>
      <c r="D30" s="20" t="inlineStr">
        <is>
          <t>Critère</t>
        </is>
      </c>
      <c r="E30" s="21" t="inlineStr">
        <is>
          <t>Flux interne : énergie mécanique (multiplicateur → bol/vis).</t>
        </is>
      </c>
      <c r="F30" s="22" t="n">
        <v>0.15</v>
      </c>
      <c r="G30" s="23" t="n"/>
      <c r="H30" s="24">
        <f>IF(G30="","",IF(G30="NE","",(IFERROR(IF(ISNUMBER(G30),G30,VALUE(G30)),0)/2)*$F30*$F$27*20))</f>
        <v/>
      </c>
      <c r="I30" s="25">
        <f>IF(G30="","◄",IF(G30="NE","~",""))</f>
        <v/>
      </c>
      <c r="J30" s="23" t="n"/>
      <c r="K30" s="24">
        <f>IF(J30="","",IF(J30="NE","",(IFERROR(IF(ISNUMBER(J30),J30,VALUE(J30)),0)/2)*$F30*$F$27*20))</f>
        <v/>
      </c>
      <c r="L30" s="25">
        <f>IF(J30="","◄",IF(J30="NE","~",""))</f>
        <v/>
      </c>
      <c r="M30" s="23" t="n"/>
      <c r="N30" s="24">
        <f>IF(M30="","",IF(M30="NE","",(IFERROR(IF(ISNUMBER(M30),M30,VALUE(M30)),0)/2)*$F30*$F$27*20))</f>
        <v/>
      </c>
      <c r="O30" s="25">
        <f>IF(M30="","◄",IF(M30="NE","~",""))</f>
        <v/>
      </c>
      <c r="P30" s="23" t="n"/>
      <c r="Q30" s="24">
        <f>IF(P30="","",IF(P30="NE","",(IFERROR(IF(ISNUMBER(P30),P30,VALUE(P30)),0)/2)*$F30*$F$27*20))</f>
        <v/>
      </c>
      <c r="R30" s="25">
        <f>IF(P30="","◄",IF(P30="NE","~",""))</f>
        <v/>
      </c>
      <c r="S30" s="23" t="n"/>
      <c r="T30" s="24">
        <f>IF(S30="","",IF(S30="NE","",(IFERROR(IF(ISNUMBER(S30),S30,VALUE(S30)),0)/2)*$F30*$F$27*20))</f>
        <v/>
      </c>
      <c r="U30" s="25">
        <f>IF(S30="","◄",IF(S30="NE","~",""))</f>
        <v/>
      </c>
      <c r="V30" s="23" t="n"/>
      <c r="W30" s="24">
        <f>IF(V30="","",IF(V30="NE","",(IFERROR(IF(ISNUMBER(V30),V30,VALUE(V30)),0)/2)*$F30*$F$27*20))</f>
        <v/>
      </c>
      <c r="X30" s="25">
        <f>IF(V30="","◄",IF(V30="NE","~",""))</f>
        <v/>
      </c>
      <c r="Y30" s="23" t="n"/>
      <c r="Z30" s="24">
        <f>IF(Y30="","",IF(Y30="NE","",(IFERROR(IF(ISNUMBER(Y30),Y30,VALUE(Y30)),0)/2)*$F30*$F$27*20))</f>
        <v/>
      </c>
      <c r="AA30" s="25">
        <f>IF(Y30="","◄",IF(Y30="NE","~",""))</f>
        <v/>
      </c>
      <c r="AB30" s="23" t="n"/>
      <c r="AC30" s="24">
        <f>IF(AB30="","",IF(AB30="NE","",(IFERROR(IF(ISNUMBER(AB30),AB30,VALUE(AB30)),0)/2)*$F30*$F$27*20))</f>
        <v/>
      </c>
      <c r="AD30" s="25">
        <f>IF(AB30="","◄",IF(AB30="NE","~",""))</f>
        <v/>
      </c>
      <c r="AE30" s="23" t="n"/>
      <c r="AF30" s="24">
        <f>IF(AE30="","",IF(AE30="NE","",(IFERROR(IF(ISNUMBER(AE30),AE30,VALUE(AE30)),0)/2)*$F30*$F$27*20))</f>
        <v/>
      </c>
      <c r="AG30" s="25">
        <f>IF(AE30="","◄",IF(AE30="NE","~",""))</f>
        <v/>
      </c>
      <c r="AH30" s="23" t="n"/>
      <c r="AI30" s="24">
        <f>IF(AH30="","",IF(AH30="NE","",(IFERROR(IF(ISNUMBER(AH30),AH30,VALUE(AH30)),0)/2)*$F30*$F$27*20))</f>
        <v/>
      </c>
      <c r="AJ30" s="25">
        <f>IF(AH30="","◄",IF(AH30="NE","~",""))</f>
        <v/>
      </c>
      <c r="AK30" s="23" t="n"/>
      <c r="AL30" s="24">
        <f>IF(AK30="","",IF(AK30="NE","",(IFERROR(IF(ISNUMBER(AK30),AK30,VALUE(AK30)),0)/2)*$F30*$F$27*20))</f>
        <v/>
      </c>
      <c r="AM30" s="25">
        <f>IF(AK30="","◄",IF(AK30="NE","~",""))</f>
        <v/>
      </c>
      <c r="AN30" s="23" t="n"/>
      <c r="AO30" s="24">
        <f>IF(AN30="","",IF(AN30="NE","",(IFERROR(IF(ISNUMBER(AN30),AN30,VALUE(AN30)),0)/2)*$F30*$F$27*20))</f>
        <v/>
      </c>
      <c r="AP30" s="25">
        <f>IF(AN30="","◄",IF(AN30="NE","~",""))</f>
        <v/>
      </c>
      <c r="AQ30" s="23" t="n"/>
      <c r="AR30" s="24">
        <f>IF(AQ30="","",IF(AQ30="NE","",(IFERROR(IF(ISNUMBER(AQ30),AQ30,VALUE(AQ30)),0)/2)*$F30*$F$27*20))</f>
        <v/>
      </c>
      <c r="AS30" s="25">
        <f>IF(AQ30="","◄",IF(AQ30="NE","~",""))</f>
        <v/>
      </c>
      <c r="AT30" s="23" t="n"/>
      <c r="AU30" s="24">
        <f>IF(AT30="","",IF(AT30="NE","",(IFERROR(IF(ISNUMBER(AT30),AT30,VALUE(AT30)),0)/2)*$F30*$F$27*20))</f>
        <v/>
      </c>
      <c r="AV30" s="25">
        <f>IF(AT30="","◄",IF(AT30="NE","~",""))</f>
        <v/>
      </c>
      <c r="AW30" s="23" t="n"/>
      <c r="AX30" s="24">
        <f>IF(AW30="","",IF(AW30="NE","",(IFERROR(IF(ISNUMBER(AW30),AW30,VALUE(AW30)),0)/2)*$F30*$F$27*20))</f>
        <v/>
      </c>
      <c r="AY30" s="25">
        <f>IF(AW30="","◄",IF(AW30="NE","~",""))</f>
        <v/>
      </c>
      <c r="AZ30" s="23" t="n"/>
      <c r="BA30" s="24">
        <f>IF(AZ30="","",IF(AZ30="NE","",(IFERROR(IF(ISNUMBER(AZ30),AZ30,VALUE(AZ30)),0)/2)*$F30*$F$27*20))</f>
        <v/>
      </c>
      <c r="BB30" s="25">
        <f>IF(AZ30="","◄",IF(AZ30="NE","~",""))</f>
        <v/>
      </c>
      <c r="BC30" s="23" t="n"/>
      <c r="BD30" s="24">
        <f>IF(BC30="","",IF(BC30="NE","",(IFERROR(IF(ISNUMBER(BC30),BC30,VALUE(BC30)),0)/2)*$F30*$F$27*20))</f>
        <v/>
      </c>
      <c r="BE30" s="25">
        <f>IF(BC30="","◄",IF(BC30="NE","~",""))</f>
        <v/>
      </c>
      <c r="BF30" s="23" t="n"/>
      <c r="BG30" s="24">
        <f>IF(BF30="","",IF(BF30="NE","",(IFERROR(IF(ISNUMBER(BF30),BF30,VALUE(BF30)),0)/2)*$F30*$F$27*20))</f>
        <v/>
      </c>
      <c r="BH30" s="25">
        <f>IF(BF30="","◄",IF(BF30="NE","~",""))</f>
        <v/>
      </c>
      <c r="BI30" s="23" t="n"/>
      <c r="BJ30" s="24">
        <f>IF(BI30="","",IF(BI30="NE","",(IFERROR(IF(ISNUMBER(BI30),BI30,VALUE(BI30)),0)/2)*$F30*$F$27*20))</f>
        <v/>
      </c>
      <c r="BK30" s="25">
        <f>IF(BI30="","◄",IF(BI30="NE","~",""))</f>
        <v/>
      </c>
      <c r="BL30" s="23" t="n"/>
      <c r="BM30" s="24">
        <f>IF(BL30="","",IF(BL30="NE","",(IFERROR(IF(ISNUMBER(BL30),BL30,VALUE(BL30)),0)/2)*$F30*$F$27*20))</f>
        <v/>
      </c>
      <c r="BN30" s="25">
        <f>IF(BL30="","◄",IF(BL30="NE","~",""))</f>
        <v/>
      </c>
      <c r="BO30" s="23" t="n"/>
      <c r="BP30" s="24">
        <f>IF(BO30="","",IF(BO30="NE","",(IFERROR(IF(ISNUMBER(BO30),BO30,VALUE(BO30)),0)/2)*$F30*$F$27*20))</f>
        <v/>
      </c>
      <c r="BQ30" s="25">
        <f>IF(BO30="","◄",IF(BO30="NE","~",""))</f>
        <v/>
      </c>
      <c r="BR30" s="23" t="n"/>
      <c r="BS30" s="24">
        <f>IF(BR30="","",IF(BR30="NE","",(IFERROR(IF(ISNUMBER(BR30),BR30,VALUE(BR30)),0)/2)*$F30*$F$27*20))</f>
        <v/>
      </c>
      <c r="BT30" s="25">
        <f>IF(BR30="","◄",IF(BR30="NE","~",""))</f>
        <v/>
      </c>
      <c r="BU30" s="23" t="n"/>
      <c r="BV30" s="24">
        <f>IF(BU30="","",IF(BU30="NE","",(IFERROR(IF(ISNUMBER(BU30),BU30,VALUE(BU30)),0)/2)*$F30*$F$27*20))</f>
        <v/>
      </c>
      <c r="BW30" s="25">
        <f>IF(BU30="","◄",IF(BU30="NE","~",""))</f>
        <v/>
      </c>
      <c r="BX30" s="23" t="n"/>
      <c r="BY30" s="24">
        <f>IF(BX30="","",IF(BX30="NE","",(IFERROR(IF(ISNUMBER(BX30),BX30,VALUE(BX30)),0)/2)*$F30*$F$27*20))</f>
        <v/>
      </c>
      <c r="BZ30" s="25">
        <f>IF(BX30="","◄",IF(BX30="NE","~",""))</f>
        <v/>
      </c>
      <c r="CA30" s="23" t="n"/>
      <c r="CB30" s="24">
        <f>IF(CA30="","",IF(CA30="NE","",(IFERROR(IF(ISNUMBER(CA30),CA30,VALUE(CA30)),0)/2)*$F30*$F$27*20))</f>
        <v/>
      </c>
      <c r="CC30" s="25">
        <f>IF(CA30="","◄",IF(CA30="NE","~",""))</f>
        <v/>
      </c>
      <c r="CD30" s="23" t="n"/>
      <c r="CE30" s="24">
        <f>IF(CD30="","",IF(CD30="NE","",(IFERROR(IF(ISNUMBER(CD30),CD30,VALUE(CD30)),0)/2)*$F30*$F$27*20))</f>
        <v/>
      </c>
      <c r="CF30" s="25">
        <f>IF(CD30="","◄",IF(CD30="NE","~",""))</f>
        <v/>
      </c>
      <c r="CG30" s="23" t="n"/>
      <c r="CH30" s="24">
        <f>IF(CG30="","",IF(CG30="NE","",(IFERROR(IF(ISNUMBER(CG30),CG30,VALUE(CG30)),0)/2)*$F30*$F$27*20))</f>
        <v/>
      </c>
      <c r="CI30" s="25">
        <f>IF(CG30="","◄",IF(CG30="NE","~",""))</f>
        <v/>
      </c>
      <c r="CJ30" s="23" t="n"/>
      <c r="CK30" s="24">
        <f>IF(CJ30="","",IF(CJ30="NE","",(IFERROR(IF(ISNUMBER(CJ30),CJ30,VALUE(CJ30)),0)/2)*$F30*$F$27*20))</f>
        <v/>
      </c>
      <c r="CL30" s="25">
        <f>IF(CJ30="","◄",IF(CJ30="NE","~",""))</f>
        <v/>
      </c>
      <c r="CM30" s="23" t="n"/>
      <c r="CN30" s="24">
        <f>IF(CM30="","",IF(CM30="NE","",(IFERROR(IF(ISNUMBER(CM30),CM30,VALUE(CM30)),0)/2)*$F30*$F$27*20))</f>
        <v/>
      </c>
      <c r="CO30" s="25">
        <f>IF(CM30="","◄",IF(CM30="NE","~",""))</f>
        <v/>
      </c>
      <c r="CP30" s="23" t="n"/>
      <c r="CQ30" s="24">
        <f>IF(CP30="","",IF(CP30="NE","",(IFERROR(IF(ISNUMBER(CP30),CP30,VALUE(CP30)),0)/2)*$F30*$F$27*20))</f>
        <v/>
      </c>
      <c r="CR30" s="25">
        <f>IF(CP30="","◄",IF(CP30="NE","~",""))</f>
        <v/>
      </c>
    </row>
    <row r="31" ht="36" customHeight="1">
      <c r="A31" s="20" t="n">
        <v>23</v>
      </c>
      <c r="B31" s="20" t="inlineStr">
        <is>
          <t>P4</t>
        </is>
      </c>
      <c r="C31" s="20" t="inlineStr">
        <is>
          <t>Q4.2</t>
        </is>
      </c>
      <c r="D31" s="20" t="inlineStr">
        <is>
          <t>Critère</t>
        </is>
      </c>
      <c r="E31" s="21" t="inlineStr">
        <is>
          <t>Ω_bol = 2π × 2600/60 ≈ 272 rad/s.</t>
        </is>
      </c>
      <c r="F31" s="22" t="n">
        <v>0.15</v>
      </c>
      <c r="G31" s="23" t="n"/>
      <c r="H31" s="24">
        <f>IF(G31="","",IF(G31="NE","",(IFERROR(IF(ISNUMBER(G31),G31,VALUE(G31)),0)/2)*$F31*$F$27*20))</f>
        <v/>
      </c>
      <c r="I31" s="25">
        <f>IF(G31="","◄",IF(G31="NE","~",""))</f>
        <v/>
      </c>
      <c r="J31" s="23" t="n"/>
      <c r="K31" s="24">
        <f>IF(J31="","",IF(J31="NE","",(IFERROR(IF(ISNUMBER(J31),J31,VALUE(J31)),0)/2)*$F31*$F$27*20))</f>
        <v/>
      </c>
      <c r="L31" s="25">
        <f>IF(J31="","◄",IF(J31="NE","~",""))</f>
        <v/>
      </c>
      <c r="M31" s="23" t="n"/>
      <c r="N31" s="24">
        <f>IF(M31="","",IF(M31="NE","",(IFERROR(IF(ISNUMBER(M31),M31,VALUE(M31)),0)/2)*$F31*$F$27*20))</f>
        <v/>
      </c>
      <c r="O31" s="25">
        <f>IF(M31="","◄",IF(M31="NE","~",""))</f>
        <v/>
      </c>
      <c r="P31" s="23" t="n"/>
      <c r="Q31" s="24">
        <f>IF(P31="","",IF(P31="NE","",(IFERROR(IF(ISNUMBER(P31),P31,VALUE(P31)),0)/2)*$F31*$F$27*20))</f>
        <v/>
      </c>
      <c r="R31" s="25">
        <f>IF(P31="","◄",IF(P31="NE","~",""))</f>
        <v/>
      </c>
      <c r="S31" s="23" t="n"/>
      <c r="T31" s="24">
        <f>IF(S31="","",IF(S31="NE","",(IFERROR(IF(ISNUMBER(S31),S31,VALUE(S31)),0)/2)*$F31*$F$27*20))</f>
        <v/>
      </c>
      <c r="U31" s="25">
        <f>IF(S31="","◄",IF(S31="NE","~",""))</f>
        <v/>
      </c>
      <c r="V31" s="23" t="n"/>
      <c r="W31" s="24">
        <f>IF(V31="","",IF(V31="NE","",(IFERROR(IF(ISNUMBER(V31),V31,VALUE(V31)),0)/2)*$F31*$F$27*20))</f>
        <v/>
      </c>
      <c r="X31" s="25">
        <f>IF(V31="","◄",IF(V31="NE","~",""))</f>
        <v/>
      </c>
      <c r="Y31" s="23" t="n"/>
      <c r="Z31" s="24">
        <f>IF(Y31="","",IF(Y31="NE","",(IFERROR(IF(ISNUMBER(Y31),Y31,VALUE(Y31)),0)/2)*$F31*$F$27*20))</f>
        <v/>
      </c>
      <c r="AA31" s="25">
        <f>IF(Y31="","◄",IF(Y31="NE","~",""))</f>
        <v/>
      </c>
      <c r="AB31" s="23" t="n"/>
      <c r="AC31" s="24">
        <f>IF(AB31="","",IF(AB31="NE","",(IFERROR(IF(ISNUMBER(AB31),AB31,VALUE(AB31)),0)/2)*$F31*$F$27*20))</f>
        <v/>
      </c>
      <c r="AD31" s="25">
        <f>IF(AB31="","◄",IF(AB31="NE","~",""))</f>
        <v/>
      </c>
      <c r="AE31" s="23" t="n"/>
      <c r="AF31" s="24">
        <f>IF(AE31="","",IF(AE31="NE","",(IFERROR(IF(ISNUMBER(AE31),AE31,VALUE(AE31)),0)/2)*$F31*$F$27*20))</f>
        <v/>
      </c>
      <c r="AG31" s="25">
        <f>IF(AE31="","◄",IF(AE31="NE","~",""))</f>
        <v/>
      </c>
      <c r="AH31" s="23" t="n"/>
      <c r="AI31" s="24">
        <f>IF(AH31="","",IF(AH31="NE","",(IFERROR(IF(ISNUMBER(AH31),AH31,VALUE(AH31)),0)/2)*$F31*$F$27*20))</f>
        <v/>
      </c>
      <c r="AJ31" s="25">
        <f>IF(AH31="","◄",IF(AH31="NE","~",""))</f>
        <v/>
      </c>
      <c r="AK31" s="23" t="n"/>
      <c r="AL31" s="24">
        <f>IF(AK31="","",IF(AK31="NE","",(IFERROR(IF(ISNUMBER(AK31),AK31,VALUE(AK31)),0)/2)*$F31*$F$27*20))</f>
        <v/>
      </c>
      <c r="AM31" s="25">
        <f>IF(AK31="","◄",IF(AK31="NE","~",""))</f>
        <v/>
      </c>
      <c r="AN31" s="23" t="n"/>
      <c r="AO31" s="24">
        <f>IF(AN31="","",IF(AN31="NE","",(IFERROR(IF(ISNUMBER(AN31),AN31,VALUE(AN31)),0)/2)*$F31*$F$27*20))</f>
        <v/>
      </c>
      <c r="AP31" s="25">
        <f>IF(AN31="","◄",IF(AN31="NE","~",""))</f>
        <v/>
      </c>
      <c r="AQ31" s="23" t="n"/>
      <c r="AR31" s="24">
        <f>IF(AQ31="","",IF(AQ31="NE","",(IFERROR(IF(ISNUMBER(AQ31),AQ31,VALUE(AQ31)),0)/2)*$F31*$F$27*20))</f>
        <v/>
      </c>
      <c r="AS31" s="25">
        <f>IF(AQ31="","◄",IF(AQ31="NE","~",""))</f>
        <v/>
      </c>
      <c r="AT31" s="23" t="n"/>
      <c r="AU31" s="24">
        <f>IF(AT31="","",IF(AT31="NE","",(IFERROR(IF(ISNUMBER(AT31),AT31,VALUE(AT31)),0)/2)*$F31*$F$27*20))</f>
        <v/>
      </c>
      <c r="AV31" s="25">
        <f>IF(AT31="","◄",IF(AT31="NE","~",""))</f>
        <v/>
      </c>
      <c r="AW31" s="23" t="n"/>
      <c r="AX31" s="24">
        <f>IF(AW31="","",IF(AW31="NE","",(IFERROR(IF(ISNUMBER(AW31),AW31,VALUE(AW31)),0)/2)*$F31*$F$27*20))</f>
        <v/>
      </c>
      <c r="AY31" s="25">
        <f>IF(AW31="","◄",IF(AW31="NE","~",""))</f>
        <v/>
      </c>
      <c r="AZ31" s="23" t="n"/>
      <c r="BA31" s="24">
        <f>IF(AZ31="","",IF(AZ31="NE","",(IFERROR(IF(ISNUMBER(AZ31),AZ31,VALUE(AZ31)),0)/2)*$F31*$F$27*20))</f>
        <v/>
      </c>
      <c r="BB31" s="25">
        <f>IF(AZ31="","◄",IF(AZ31="NE","~",""))</f>
        <v/>
      </c>
      <c r="BC31" s="23" t="n"/>
      <c r="BD31" s="24">
        <f>IF(BC31="","",IF(BC31="NE","",(IFERROR(IF(ISNUMBER(BC31),BC31,VALUE(BC31)),0)/2)*$F31*$F$27*20))</f>
        <v/>
      </c>
      <c r="BE31" s="25">
        <f>IF(BC31="","◄",IF(BC31="NE","~",""))</f>
        <v/>
      </c>
      <c r="BF31" s="23" t="n"/>
      <c r="BG31" s="24">
        <f>IF(BF31="","",IF(BF31="NE","",(IFERROR(IF(ISNUMBER(BF31),BF31,VALUE(BF31)),0)/2)*$F31*$F$27*20))</f>
        <v/>
      </c>
      <c r="BH31" s="25">
        <f>IF(BF31="","◄",IF(BF31="NE","~",""))</f>
        <v/>
      </c>
      <c r="BI31" s="23" t="n"/>
      <c r="BJ31" s="24">
        <f>IF(BI31="","",IF(BI31="NE","",(IFERROR(IF(ISNUMBER(BI31),BI31,VALUE(BI31)),0)/2)*$F31*$F$27*20))</f>
        <v/>
      </c>
      <c r="BK31" s="25">
        <f>IF(BI31="","◄",IF(BI31="NE","~",""))</f>
        <v/>
      </c>
      <c r="BL31" s="23" t="n"/>
      <c r="BM31" s="24">
        <f>IF(BL31="","",IF(BL31="NE","",(IFERROR(IF(ISNUMBER(BL31),BL31,VALUE(BL31)),0)/2)*$F31*$F$27*20))</f>
        <v/>
      </c>
      <c r="BN31" s="25">
        <f>IF(BL31="","◄",IF(BL31="NE","~",""))</f>
        <v/>
      </c>
      <c r="BO31" s="23" t="n"/>
      <c r="BP31" s="24">
        <f>IF(BO31="","",IF(BO31="NE","",(IFERROR(IF(ISNUMBER(BO31),BO31,VALUE(BO31)),0)/2)*$F31*$F$27*20))</f>
        <v/>
      </c>
      <c r="BQ31" s="25">
        <f>IF(BO31="","◄",IF(BO31="NE","~",""))</f>
        <v/>
      </c>
      <c r="BR31" s="23" t="n"/>
      <c r="BS31" s="24">
        <f>IF(BR31="","",IF(BR31="NE","",(IFERROR(IF(ISNUMBER(BR31),BR31,VALUE(BR31)),0)/2)*$F31*$F$27*20))</f>
        <v/>
      </c>
      <c r="BT31" s="25">
        <f>IF(BR31="","◄",IF(BR31="NE","~",""))</f>
        <v/>
      </c>
      <c r="BU31" s="23" t="n"/>
      <c r="BV31" s="24">
        <f>IF(BU31="","",IF(BU31="NE","",(IFERROR(IF(ISNUMBER(BU31),BU31,VALUE(BU31)),0)/2)*$F31*$F$27*20))</f>
        <v/>
      </c>
      <c r="BW31" s="25">
        <f>IF(BU31="","◄",IF(BU31="NE","~",""))</f>
        <v/>
      </c>
      <c r="BX31" s="23" t="n"/>
      <c r="BY31" s="24">
        <f>IF(BX31="","",IF(BX31="NE","",(IFERROR(IF(ISNUMBER(BX31),BX31,VALUE(BX31)),0)/2)*$F31*$F$27*20))</f>
        <v/>
      </c>
      <c r="BZ31" s="25">
        <f>IF(BX31="","◄",IF(BX31="NE","~",""))</f>
        <v/>
      </c>
      <c r="CA31" s="23" t="n"/>
      <c r="CB31" s="24">
        <f>IF(CA31="","",IF(CA31="NE","",(IFERROR(IF(ISNUMBER(CA31),CA31,VALUE(CA31)),0)/2)*$F31*$F$27*20))</f>
        <v/>
      </c>
      <c r="CC31" s="25">
        <f>IF(CA31="","◄",IF(CA31="NE","~",""))</f>
        <v/>
      </c>
      <c r="CD31" s="23" t="n"/>
      <c r="CE31" s="24">
        <f>IF(CD31="","",IF(CD31="NE","",(IFERROR(IF(ISNUMBER(CD31),CD31,VALUE(CD31)),0)/2)*$F31*$F$27*20))</f>
        <v/>
      </c>
      <c r="CF31" s="25">
        <f>IF(CD31="","◄",IF(CD31="NE","~",""))</f>
        <v/>
      </c>
      <c r="CG31" s="23" t="n"/>
      <c r="CH31" s="24">
        <f>IF(CG31="","",IF(CG31="NE","",(IFERROR(IF(ISNUMBER(CG31),CG31,VALUE(CG31)),0)/2)*$F31*$F$27*20))</f>
        <v/>
      </c>
      <c r="CI31" s="25">
        <f>IF(CG31="","◄",IF(CG31="NE","~",""))</f>
        <v/>
      </c>
      <c r="CJ31" s="23" t="n"/>
      <c r="CK31" s="24">
        <f>IF(CJ31="","",IF(CJ31="NE","",(IFERROR(IF(ISNUMBER(CJ31),CJ31,VALUE(CJ31)),0)/2)*$F31*$F$27*20))</f>
        <v/>
      </c>
      <c r="CL31" s="25">
        <f>IF(CJ31="","◄",IF(CJ31="NE","~",""))</f>
        <v/>
      </c>
      <c r="CM31" s="23" t="n"/>
      <c r="CN31" s="24">
        <f>IF(CM31="","",IF(CM31="NE","",(IFERROR(IF(ISNUMBER(CM31),CM31,VALUE(CM31)),0)/2)*$F31*$F$27*20))</f>
        <v/>
      </c>
      <c r="CO31" s="25">
        <f>IF(CM31="","◄",IF(CM31="NE","~",""))</f>
        <v/>
      </c>
      <c r="CP31" s="23" t="n"/>
      <c r="CQ31" s="24">
        <f>IF(CP31="","",IF(CP31="NE","",(IFERROR(IF(ISNUMBER(CP31),CP31,VALUE(CP31)),0)/2)*$F31*$F$27*20))</f>
        <v/>
      </c>
      <c r="CR31" s="25">
        <f>IF(CP31="","◄",IF(CP31="NE","~",""))</f>
        <v/>
      </c>
    </row>
    <row r="32" ht="36" customHeight="1">
      <c r="A32" s="20" t="n">
        <v>24</v>
      </c>
      <c r="B32" s="20" t="inlineStr">
        <is>
          <t>P4</t>
        </is>
      </c>
      <c r="C32" s="20" t="inlineStr">
        <is>
          <t>Q4.3</t>
        </is>
      </c>
      <c r="D32" s="20" t="inlineStr">
        <is>
          <t>Critère</t>
        </is>
      </c>
      <c r="E32" s="21" t="inlineStr">
        <is>
          <t>F_cb = 1200 × 1 × 0,335 × 300² = 36 180 kN.</t>
        </is>
      </c>
      <c r="F32" s="22" t="n">
        <v>0.15</v>
      </c>
      <c r="G32" s="23" t="n"/>
      <c r="H32" s="24">
        <f>IF(G32="","",IF(G32="NE","",(IFERROR(IF(ISNUMBER(G32),G32,VALUE(G32)),0)/2)*$F32*$F$27*20))</f>
        <v/>
      </c>
      <c r="I32" s="25">
        <f>IF(G32="","◄",IF(G32="NE","~",""))</f>
        <v/>
      </c>
      <c r="J32" s="23" t="n"/>
      <c r="K32" s="24">
        <f>IF(J32="","",IF(J32="NE","",(IFERROR(IF(ISNUMBER(J32),J32,VALUE(J32)),0)/2)*$F32*$F$27*20))</f>
        <v/>
      </c>
      <c r="L32" s="25">
        <f>IF(J32="","◄",IF(J32="NE","~",""))</f>
        <v/>
      </c>
      <c r="M32" s="23" t="n"/>
      <c r="N32" s="24">
        <f>IF(M32="","",IF(M32="NE","",(IFERROR(IF(ISNUMBER(M32),M32,VALUE(M32)),0)/2)*$F32*$F$27*20))</f>
        <v/>
      </c>
      <c r="O32" s="25">
        <f>IF(M32="","◄",IF(M32="NE","~",""))</f>
        <v/>
      </c>
      <c r="P32" s="23" t="n"/>
      <c r="Q32" s="24">
        <f>IF(P32="","",IF(P32="NE","",(IFERROR(IF(ISNUMBER(P32),P32,VALUE(P32)),0)/2)*$F32*$F$27*20))</f>
        <v/>
      </c>
      <c r="R32" s="25">
        <f>IF(P32="","◄",IF(P32="NE","~",""))</f>
        <v/>
      </c>
      <c r="S32" s="23" t="n"/>
      <c r="T32" s="24">
        <f>IF(S32="","",IF(S32="NE","",(IFERROR(IF(ISNUMBER(S32),S32,VALUE(S32)),0)/2)*$F32*$F$27*20))</f>
        <v/>
      </c>
      <c r="U32" s="25">
        <f>IF(S32="","◄",IF(S32="NE","~",""))</f>
        <v/>
      </c>
      <c r="V32" s="23" t="n"/>
      <c r="W32" s="24">
        <f>IF(V32="","",IF(V32="NE","",(IFERROR(IF(ISNUMBER(V32),V32,VALUE(V32)),0)/2)*$F32*$F$27*20))</f>
        <v/>
      </c>
      <c r="X32" s="25">
        <f>IF(V32="","◄",IF(V32="NE","~",""))</f>
        <v/>
      </c>
      <c r="Y32" s="23" t="n"/>
      <c r="Z32" s="24">
        <f>IF(Y32="","",IF(Y32="NE","",(IFERROR(IF(ISNUMBER(Y32),Y32,VALUE(Y32)),0)/2)*$F32*$F$27*20))</f>
        <v/>
      </c>
      <c r="AA32" s="25">
        <f>IF(Y32="","◄",IF(Y32="NE","~",""))</f>
        <v/>
      </c>
      <c r="AB32" s="23" t="n"/>
      <c r="AC32" s="24">
        <f>IF(AB32="","",IF(AB32="NE","",(IFERROR(IF(ISNUMBER(AB32),AB32,VALUE(AB32)),0)/2)*$F32*$F$27*20))</f>
        <v/>
      </c>
      <c r="AD32" s="25">
        <f>IF(AB32="","◄",IF(AB32="NE","~",""))</f>
        <v/>
      </c>
      <c r="AE32" s="23" t="n"/>
      <c r="AF32" s="24">
        <f>IF(AE32="","",IF(AE32="NE","",(IFERROR(IF(ISNUMBER(AE32),AE32,VALUE(AE32)),0)/2)*$F32*$F$27*20))</f>
        <v/>
      </c>
      <c r="AG32" s="25">
        <f>IF(AE32="","◄",IF(AE32="NE","~",""))</f>
        <v/>
      </c>
      <c r="AH32" s="23" t="n"/>
      <c r="AI32" s="24">
        <f>IF(AH32="","",IF(AH32="NE","",(IFERROR(IF(ISNUMBER(AH32),AH32,VALUE(AH32)),0)/2)*$F32*$F$27*20))</f>
        <v/>
      </c>
      <c r="AJ32" s="25">
        <f>IF(AH32="","◄",IF(AH32="NE","~",""))</f>
        <v/>
      </c>
      <c r="AK32" s="23" t="n"/>
      <c r="AL32" s="24">
        <f>IF(AK32="","",IF(AK32="NE","",(IFERROR(IF(ISNUMBER(AK32),AK32,VALUE(AK32)),0)/2)*$F32*$F$27*20))</f>
        <v/>
      </c>
      <c r="AM32" s="25">
        <f>IF(AK32="","◄",IF(AK32="NE","~",""))</f>
        <v/>
      </c>
      <c r="AN32" s="23" t="n"/>
      <c r="AO32" s="24">
        <f>IF(AN32="","",IF(AN32="NE","",(IFERROR(IF(ISNUMBER(AN32),AN32,VALUE(AN32)),0)/2)*$F32*$F$27*20))</f>
        <v/>
      </c>
      <c r="AP32" s="25">
        <f>IF(AN32="","◄",IF(AN32="NE","~",""))</f>
        <v/>
      </c>
      <c r="AQ32" s="23" t="n"/>
      <c r="AR32" s="24">
        <f>IF(AQ32="","",IF(AQ32="NE","",(IFERROR(IF(ISNUMBER(AQ32),AQ32,VALUE(AQ32)),0)/2)*$F32*$F$27*20))</f>
        <v/>
      </c>
      <c r="AS32" s="25">
        <f>IF(AQ32="","◄",IF(AQ32="NE","~",""))</f>
        <v/>
      </c>
      <c r="AT32" s="23" t="n"/>
      <c r="AU32" s="24">
        <f>IF(AT32="","",IF(AT32="NE","",(IFERROR(IF(ISNUMBER(AT32),AT32,VALUE(AT32)),0)/2)*$F32*$F$27*20))</f>
        <v/>
      </c>
      <c r="AV32" s="25">
        <f>IF(AT32="","◄",IF(AT32="NE","~",""))</f>
        <v/>
      </c>
      <c r="AW32" s="23" t="n"/>
      <c r="AX32" s="24">
        <f>IF(AW32="","",IF(AW32="NE","",(IFERROR(IF(ISNUMBER(AW32),AW32,VALUE(AW32)),0)/2)*$F32*$F$27*20))</f>
        <v/>
      </c>
      <c r="AY32" s="25">
        <f>IF(AW32="","◄",IF(AW32="NE","~",""))</f>
        <v/>
      </c>
      <c r="AZ32" s="23" t="n"/>
      <c r="BA32" s="24">
        <f>IF(AZ32="","",IF(AZ32="NE","",(IFERROR(IF(ISNUMBER(AZ32),AZ32,VALUE(AZ32)),0)/2)*$F32*$F$27*20))</f>
        <v/>
      </c>
      <c r="BB32" s="25">
        <f>IF(AZ32="","◄",IF(AZ32="NE","~",""))</f>
        <v/>
      </c>
      <c r="BC32" s="23" t="n"/>
      <c r="BD32" s="24">
        <f>IF(BC32="","",IF(BC32="NE","",(IFERROR(IF(ISNUMBER(BC32),BC32,VALUE(BC32)),0)/2)*$F32*$F$27*20))</f>
        <v/>
      </c>
      <c r="BE32" s="25">
        <f>IF(BC32="","◄",IF(BC32="NE","~",""))</f>
        <v/>
      </c>
      <c r="BF32" s="23" t="n"/>
      <c r="BG32" s="24">
        <f>IF(BF32="","",IF(BF32="NE","",(IFERROR(IF(ISNUMBER(BF32),BF32,VALUE(BF32)),0)/2)*$F32*$F$27*20))</f>
        <v/>
      </c>
      <c r="BH32" s="25">
        <f>IF(BF32="","◄",IF(BF32="NE","~",""))</f>
        <v/>
      </c>
      <c r="BI32" s="23" t="n"/>
      <c r="BJ32" s="24">
        <f>IF(BI32="","",IF(BI32="NE","",(IFERROR(IF(ISNUMBER(BI32),BI32,VALUE(BI32)),0)/2)*$F32*$F$27*20))</f>
        <v/>
      </c>
      <c r="BK32" s="25">
        <f>IF(BI32="","◄",IF(BI32="NE","~",""))</f>
        <v/>
      </c>
      <c r="BL32" s="23" t="n"/>
      <c r="BM32" s="24">
        <f>IF(BL32="","",IF(BL32="NE","",(IFERROR(IF(ISNUMBER(BL32),BL32,VALUE(BL32)),0)/2)*$F32*$F$27*20))</f>
        <v/>
      </c>
      <c r="BN32" s="25">
        <f>IF(BL32="","◄",IF(BL32="NE","~",""))</f>
        <v/>
      </c>
      <c r="BO32" s="23" t="n"/>
      <c r="BP32" s="24">
        <f>IF(BO32="","",IF(BO32="NE","",(IFERROR(IF(ISNUMBER(BO32),BO32,VALUE(BO32)),0)/2)*$F32*$F$27*20))</f>
        <v/>
      </c>
      <c r="BQ32" s="25">
        <f>IF(BO32="","◄",IF(BO32="NE","~",""))</f>
        <v/>
      </c>
      <c r="BR32" s="23" t="n"/>
      <c r="BS32" s="24">
        <f>IF(BR32="","",IF(BR32="NE","",(IFERROR(IF(ISNUMBER(BR32),BR32,VALUE(BR32)),0)/2)*$F32*$F$27*20))</f>
        <v/>
      </c>
      <c r="BT32" s="25">
        <f>IF(BR32="","◄",IF(BR32="NE","~",""))</f>
        <v/>
      </c>
      <c r="BU32" s="23" t="n"/>
      <c r="BV32" s="24">
        <f>IF(BU32="","",IF(BU32="NE","",(IFERROR(IF(ISNUMBER(BU32),BU32,VALUE(BU32)),0)/2)*$F32*$F$27*20))</f>
        <v/>
      </c>
      <c r="BW32" s="25">
        <f>IF(BU32="","◄",IF(BU32="NE","~",""))</f>
        <v/>
      </c>
      <c r="BX32" s="23" t="n"/>
      <c r="BY32" s="24">
        <f>IF(BX32="","",IF(BX32="NE","",(IFERROR(IF(ISNUMBER(BX32),BX32,VALUE(BX32)),0)/2)*$F32*$F$27*20))</f>
        <v/>
      </c>
      <c r="BZ32" s="25">
        <f>IF(BX32="","◄",IF(BX32="NE","~",""))</f>
        <v/>
      </c>
      <c r="CA32" s="23" t="n"/>
      <c r="CB32" s="24">
        <f>IF(CA32="","",IF(CA32="NE","",(IFERROR(IF(ISNUMBER(CA32),CA32,VALUE(CA32)),0)/2)*$F32*$F$27*20))</f>
        <v/>
      </c>
      <c r="CC32" s="25">
        <f>IF(CA32="","◄",IF(CA32="NE","~",""))</f>
        <v/>
      </c>
      <c r="CD32" s="23" t="n"/>
      <c r="CE32" s="24">
        <f>IF(CD32="","",IF(CD32="NE","",(IFERROR(IF(ISNUMBER(CD32),CD32,VALUE(CD32)),0)/2)*$F32*$F$27*20))</f>
        <v/>
      </c>
      <c r="CF32" s="25">
        <f>IF(CD32="","◄",IF(CD32="NE","~",""))</f>
        <v/>
      </c>
      <c r="CG32" s="23" t="n"/>
      <c r="CH32" s="24">
        <f>IF(CG32="","",IF(CG32="NE","",(IFERROR(IF(ISNUMBER(CG32),CG32,VALUE(CG32)),0)/2)*$F32*$F$27*20))</f>
        <v/>
      </c>
      <c r="CI32" s="25">
        <f>IF(CG32="","◄",IF(CG32="NE","~",""))</f>
        <v/>
      </c>
      <c r="CJ32" s="23" t="n"/>
      <c r="CK32" s="24">
        <f>IF(CJ32="","",IF(CJ32="NE","",(IFERROR(IF(ISNUMBER(CJ32),CJ32,VALUE(CJ32)),0)/2)*$F32*$F$27*20))</f>
        <v/>
      </c>
      <c r="CL32" s="25">
        <f>IF(CJ32="","◄",IF(CJ32="NE","~",""))</f>
        <v/>
      </c>
      <c r="CM32" s="23" t="n"/>
      <c r="CN32" s="24">
        <f>IF(CM32="","",IF(CM32="NE","",(IFERROR(IF(ISNUMBER(CM32),CM32,VALUE(CM32)),0)/2)*$F32*$F$27*20))</f>
        <v/>
      </c>
      <c r="CO32" s="25">
        <f>IF(CM32="","◄",IF(CM32="NE","~",""))</f>
        <v/>
      </c>
      <c r="CP32" s="23" t="n"/>
      <c r="CQ32" s="24">
        <f>IF(CP32="","",IF(CP32="NE","",(IFERROR(IF(ISNUMBER(CP32),CP32,VALUE(CP32)),0)/2)*$F32*$F$27*20))</f>
        <v/>
      </c>
      <c r="CR32" s="25">
        <f>IF(CP32="","◄",IF(CP32="NE","~",""))</f>
        <v/>
      </c>
    </row>
    <row r="33" ht="36" customHeight="1">
      <c r="A33" s="20" t="n">
        <v>25</v>
      </c>
      <c r="B33" s="20" t="inlineStr">
        <is>
          <t>P4</t>
        </is>
      </c>
      <c r="C33" s="20" t="inlineStr">
        <is>
          <t>Q4.4</t>
        </is>
      </c>
      <c r="D33" s="20" t="inlineStr">
        <is>
          <t>Critère</t>
        </is>
      </c>
      <c r="E33" s="21" t="inlineStr">
        <is>
          <t>F_cb = 36 180 kN &gt; F_ce = 30 200 kN.</t>
        </is>
      </c>
      <c r="F33" s="22" t="n">
        <v>0.15</v>
      </c>
      <c r="G33" s="23" t="n"/>
      <c r="H33" s="24">
        <f>IF(G33="","",IF(G33="NE","",(IFERROR(IF(ISNUMBER(G33),G33,VALUE(G33)),0)/2)*$F33*$F$27*20))</f>
        <v/>
      </c>
      <c r="I33" s="25">
        <f>IF(G33="","◄",IF(G33="NE","~",""))</f>
        <v/>
      </c>
      <c r="J33" s="23" t="n"/>
      <c r="K33" s="24">
        <f>IF(J33="","",IF(J33="NE","",(IFERROR(IF(ISNUMBER(J33),J33,VALUE(J33)),0)/2)*$F33*$F$27*20))</f>
        <v/>
      </c>
      <c r="L33" s="25">
        <f>IF(J33="","◄",IF(J33="NE","~",""))</f>
        <v/>
      </c>
      <c r="M33" s="23" t="n"/>
      <c r="N33" s="24">
        <f>IF(M33="","",IF(M33="NE","",(IFERROR(IF(ISNUMBER(M33),M33,VALUE(M33)),0)/2)*$F33*$F$27*20))</f>
        <v/>
      </c>
      <c r="O33" s="25">
        <f>IF(M33="","◄",IF(M33="NE","~",""))</f>
        <v/>
      </c>
      <c r="P33" s="23" t="n"/>
      <c r="Q33" s="24">
        <f>IF(P33="","",IF(P33="NE","",(IFERROR(IF(ISNUMBER(P33),P33,VALUE(P33)),0)/2)*$F33*$F$27*20))</f>
        <v/>
      </c>
      <c r="R33" s="25">
        <f>IF(P33="","◄",IF(P33="NE","~",""))</f>
        <v/>
      </c>
      <c r="S33" s="23" t="n"/>
      <c r="T33" s="24">
        <f>IF(S33="","",IF(S33="NE","",(IFERROR(IF(ISNUMBER(S33),S33,VALUE(S33)),0)/2)*$F33*$F$27*20))</f>
        <v/>
      </c>
      <c r="U33" s="25">
        <f>IF(S33="","◄",IF(S33="NE","~",""))</f>
        <v/>
      </c>
      <c r="V33" s="23" t="n"/>
      <c r="W33" s="24">
        <f>IF(V33="","",IF(V33="NE","",(IFERROR(IF(ISNUMBER(V33),V33,VALUE(V33)),0)/2)*$F33*$F$27*20))</f>
        <v/>
      </c>
      <c r="X33" s="25">
        <f>IF(V33="","◄",IF(V33="NE","~",""))</f>
        <v/>
      </c>
      <c r="Y33" s="23" t="n"/>
      <c r="Z33" s="24">
        <f>IF(Y33="","",IF(Y33="NE","",(IFERROR(IF(ISNUMBER(Y33),Y33,VALUE(Y33)),0)/2)*$F33*$F$27*20))</f>
        <v/>
      </c>
      <c r="AA33" s="25">
        <f>IF(Y33="","◄",IF(Y33="NE","~",""))</f>
        <v/>
      </c>
      <c r="AB33" s="23" t="n"/>
      <c r="AC33" s="24">
        <f>IF(AB33="","",IF(AB33="NE","",(IFERROR(IF(ISNUMBER(AB33),AB33,VALUE(AB33)),0)/2)*$F33*$F$27*20))</f>
        <v/>
      </c>
      <c r="AD33" s="25">
        <f>IF(AB33="","◄",IF(AB33="NE","~",""))</f>
        <v/>
      </c>
      <c r="AE33" s="23" t="n"/>
      <c r="AF33" s="24">
        <f>IF(AE33="","",IF(AE33="NE","",(IFERROR(IF(ISNUMBER(AE33),AE33,VALUE(AE33)),0)/2)*$F33*$F$27*20))</f>
        <v/>
      </c>
      <c r="AG33" s="25">
        <f>IF(AE33="","◄",IF(AE33="NE","~",""))</f>
        <v/>
      </c>
      <c r="AH33" s="23" t="n"/>
      <c r="AI33" s="24">
        <f>IF(AH33="","",IF(AH33="NE","",(IFERROR(IF(ISNUMBER(AH33),AH33,VALUE(AH33)),0)/2)*$F33*$F$27*20))</f>
        <v/>
      </c>
      <c r="AJ33" s="25">
        <f>IF(AH33="","◄",IF(AH33="NE","~",""))</f>
        <v/>
      </c>
      <c r="AK33" s="23" t="n"/>
      <c r="AL33" s="24">
        <f>IF(AK33="","",IF(AK33="NE","",(IFERROR(IF(ISNUMBER(AK33),AK33,VALUE(AK33)),0)/2)*$F33*$F$27*20))</f>
        <v/>
      </c>
      <c r="AM33" s="25">
        <f>IF(AK33="","◄",IF(AK33="NE","~",""))</f>
        <v/>
      </c>
      <c r="AN33" s="23" t="n"/>
      <c r="AO33" s="24">
        <f>IF(AN33="","",IF(AN33="NE","",(IFERROR(IF(ISNUMBER(AN33),AN33,VALUE(AN33)),0)/2)*$F33*$F$27*20))</f>
        <v/>
      </c>
      <c r="AP33" s="25">
        <f>IF(AN33="","◄",IF(AN33="NE","~",""))</f>
        <v/>
      </c>
      <c r="AQ33" s="23" t="n"/>
      <c r="AR33" s="24">
        <f>IF(AQ33="","",IF(AQ33="NE","",(IFERROR(IF(ISNUMBER(AQ33),AQ33,VALUE(AQ33)),0)/2)*$F33*$F$27*20))</f>
        <v/>
      </c>
      <c r="AS33" s="25">
        <f>IF(AQ33="","◄",IF(AQ33="NE","~",""))</f>
        <v/>
      </c>
      <c r="AT33" s="23" t="n"/>
      <c r="AU33" s="24">
        <f>IF(AT33="","",IF(AT33="NE","",(IFERROR(IF(ISNUMBER(AT33),AT33,VALUE(AT33)),0)/2)*$F33*$F$27*20))</f>
        <v/>
      </c>
      <c r="AV33" s="25">
        <f>IF(AT33="","◄",IF(AT33="NE","~",""))</f>
        <v/>
      </c>
      <c r="AW33" s="23" t="n"/>
      <c r="AX33" s="24">
        <f>IF(AW33="","",IF(AW33="NE","",(IFERROR(IF(ISNUMBER(AW33),AW33,VALUE(AW33)),0)/2)*$F33*$F$27*20))</f>
        <v/>
      </c>
      <c r="AY33" s="25">
        <f>IF(AW33="","◄",IF(AW33="NE","~",""))</f>
        <v/>
      </c>
      <c r="AZ33" s="23" t="n"/>
      <c r="BA33" s="24">
        <f>IF(AZ33="","",IF(AZ33="NE","",(IFERROR(IF(ISNUMBER(AZ33),AZ33,VALUE(AZ33)),0)/2)*$F33*$F$27*20))</f>
        <v/>
      </c>
      <c r="BB33" s="25">
        <f>IF(AZ33="","◄",IF(AZ33="NE","~",""))</f>
        <v/>
      </c>
      <c r="BC33" s="23" t="n"/>
      <c r="BD33" s="24">
        <f>IF(BC33="","",IF(BC33="NE","",(IFERROR(IF(ISNUMBER(BC33),BC33,VALUE(BC33)),0)/2)*$F33*$F$27*20))</f>
        <v/>
      </c>
      <c r="BE33" s="25">
        <f>IF(BC33="","◄",IF(BC33="NE","~",""))</f>
        <v/>
      </c>
      <c r="BF33" s="23" t="n"/>
      <c r="BG33" s="24">
        <f>IF(BF33="","",IF(BF33="NE","",(IFERROR(IF(ISNUMBER(BF33),BF33,VALUE(BF33)),0)/2)*$F33*$F$27*20))</f>
        <v/>
      </c>
      <c r="BH33" s="25">
        <f>IF(BF33="","◄",IF(BF33="NE","~",""))</f>
        <v/>
      </c>
      <c r="BI33" s="23" t="n"/>
      <c r="BJ33" s="24">
        <f>IF(BI33="","",IF(BI33="NE","",(IFERROR(IF(ISNUMBER(BI33),BI33,VALUE(BI33)),0)/2)*$F33*$F$27*20))</f>
        <v/>
      </c>
      <c r="BK33" s="25">
        <f>IF(BI33="","◄",IF(BI33="NE","~",""))</f>
        <v/>
      </c>
      <c r="BL33" s="23" t="n"/>
      <c r="BM33" s="24">
        <f>IF(BL33="","",IF(BL33="NE","",(IFERROR(IF(ISNUMBER(BL33),BL33,VALUE(BL33)),0)/2)*$F33*$F$27*20))</f>
        <v/>
      </c>
      <c r="BN33" s="25">
        <f>IF(BL33="","◄",IF(BL33="NE","~",""))</f>
        <v/>
      </c>
      <c r="BO33" s="23" t="n"/>
      <c r="BP33" s="24">
        <f>IF(BO33="","",IF(BO33="NE","",(IFERROR(IF(ISNUMBER(BO33),BO33,VALUE(BO33)),0)/2)*$F33*$F$27*20))</f>
        <v/>
      </c>
      <c r="BQ33" s="25">
        <f>IF(BO33="","◄",IF(BO33="NE","~",""))</f>
        <v/>
      </c>
      <c r="BR33" s="23" t="n"/>
      <c r="BS33" s="24">
        <f>IF(BR33="","",IF(BR33="NE","",(IFERROR(IF(ISNUMBER(BR33),BR33,VALUE(BR33)),0)/2)*$F33*$F$27*20))</f>
        <v/>
      </c>
      <c r="BT33" s="25">
        <f>IF(BR33="","◄",IF(BR33="NE","~",""))</f>
        <v/>
      </c>
      <c r="BU33" s="23" t="n"/>
      <c r="BV33" s="24">
        <f>IF(BU33="","",IF(BU33="NE","",(IFERROR(IF(ISNUMBER(BU33),BU33,VALUE(BU33)),0)/2)*$F33*$F$27*20))</f>
        <v/>
      </c>
      <c r="BW33" s="25">
        <f>IF(BU33="","◄",IF(BU33="NE","~",""))</f>
        <v/>
      </c>
      <c r="BX33" s="23" t="n"/>
      <c r="BY33" s="24">
        <f>IF(BX33="","",IF(BX33="NE","",(IFERROR(IF(ISNUMBER(BX33),BX33,VALUE(BX33)),0)/2)*$F33*$F$27*20))</f>
        <v/>
      </c>
      <c r="BZ33" s="25">
        <f>IF(BX33="","◄",IF(BX33="NE","~",""))</f>
        <v/>
      </c>
      <c r="CA33" s="23" t="n"/>
      <c r="CB33" s="24">
        <f>IF(CA33="","",IF(CA33="NE","",(IFERROR(IF(ISNUMBER(CA33),CA33,VALUE(CA33)),0)/2)*$F33*$F$27*20))</f>
        <v/>
      </c>
      <c r="CC33" s="25">
        <f>IF(CA33="","◄",IF(CA33="NE","~",""))</f>
        <v/>
      </c>
      <c r="CD33" s="23" t="n"/>
      <c r="CE33" s="24">
        <f>IF(CD33="","",IF(CD33="NE","",(IFERROR(IF(ISNUMBER(CD33),CD33,VALUE(CD33)),0)/2)*$F33*$F$27*20))</f>
        <v/>
      </c>
      <c r="CF33" s="25">
        <f>IF(CD33="","◄",IF(CD33="NE","~",""))</f>
        <v/>
      </c>
      <c r="CG33" s="23" t="n"/>
      <c r="CH33" s="24">
        <f>IF(CG33="","",IF(CG33="NE","",(IFERROR(IF(ISNUMBER(CG33),CG33,VALUE(CG33)),0)/2)*$F33*$F$27*20))</f>
        <v/>
      </c>
      <c r="CI33" s="25">
        <f>IF(CG33="","◄",IF(CG33="NE","~",""))</f>
        <v/>
      </c>
      <c r="CJ33" s="23" t="n"/>
      <c r="CK33" s="24">
        <f>IF(CJ33="","",IF(CJ33="NE","",(IFERROR(IF(ISNUMBER(CJ33),CJ33,VALUE(CJ33)),0)/2)*$F33*$F$27*20))</f>
        <v/>
      </c>
      <c r="CL33" s="25">
        <f>IF(CJ33="","◄",IF(CJ33="NE","~",""))</f>
        <v/>
      </c>
      <c r="CM33" s="23" t="n"/>
      <c r="CN33" s="24">
        <f>IF(CM33="","",IF(CM33="NE","",(IFERROR(IF(ISNUMBER(CM33),CM33,VALUE(CM33)),0)/2)*$F33*$F$27*20))</f>
        <v/>
      </c>
      <c r="CO33" s="25">
        <f>IF(CM33="","◄",IF(CM33="NE","~",""))</f>
        <v/>
      </c>
      <c r="CP33" s="23" t="n"/>
      <c r="CQ33" s="24">
        <f>IF(CP33="","",IF(CP33="NE","",(IFERROR(IF(ISNUMBER(CP33),CP33,VALUE(CP33)),0)/2)*$F33*$F$27*20))</f>
        <v/>
      </c>
      <c r="CR33" s="25">
        <f>IF(CP33="","◄",IF(CP33="NE","~",""))</f>
        <v/>
      </c>
    </row>
    <row r="34" ht="36" customHeight="1">
      <c r="A34" s="20" t="n">
        <v>26</v>
      </c>
      <c r="B34" s="20" t="inlineStr">
        <is>
          <t>P4</t>
        </is>
      </c>
      <c r="C34" s="20" t="inlineStr">
        <is>
          <t>Q4.4</t>
        </is>
      </c>
      <c r="D34" s="20" t="inlineStr">
        <is>
          <t>Critère</t>
        </is>
      </c>
      <c r="E34" s="21" t="inlineStr">
        <is>
          <t>Conclusion : forces centrifuges différentes sur boue et eau → séparation possible.</t>
        </is>
      </c>
      <c r="F34" s="22" t="n">
        <v>0.1</v>
      </c>
      <c r="G34" s="23" t="n"/>
      <c r="H34" s="24">
        <f>IF(G34="","",IF(G34="NE","",(IFERROR(IF(ISNUMBER(G34),G34,VALUE(G34)),0)/2)*$F34*$F$27*20))</f>
        <v/>
      </c>
      <c r="I34" s="25">
        <f>IF(G34="","◄",IF(G34="NE","~",""))</f>
        <v/>
      </c>
      <c r="J34" s="23" t="n"/>
      <c r="K34" s="24">
        <f>IF(J34="","",IF(J34="NE","",(IFERROR(IF(ISNUMBER(J34),J34,VALUE(J34)),0)/2)*$F34*$F$27*20))</f>
        <v/>
      </c>
      <c r="L34" s="25">
        <f>IF(J34="","◄",IF(J34="NE","~",""))</f>
        <v/>
      </c>
      <c r="M34" s="23" t="n"/>
      <c r="N34" s="24">
        <f>IF(M34="","",IF(M34="NE","",(IFERROR(IF(ISNUMBER(M34),M34,VALUE(M34)),0)/2)*$F34*$F$27*20))</f>
        <v/>
      </c>
      <c r="O34" s="25">
        <f>IF(M34="","◄",IF(M34="NE","~",""))</f>
        <v/>
      </c>
      <c r="P34" s="23" t="n"/>
      <c r="Q34" s="24">
        <f>IF(P34="","",IF(P34="NE","",(IFERROR(IF(ISNUMBER(P34),P34,VALUE(P34)),0)/2)*$F34*$F$27*20))</f>
        <v/>
      </c>
      <c r="R34" s="25">
        <f>IF(P34="","◄",IF(P34="NE","~",""))</f>
        <v/>
      </c>
      <c r="S34" s="23" t="n"/>
      <c r="T34" s="24">
        <f>IF(S34="","",IF(S34="NE","",(IFERROR(IF(ISNUMBER(S34),S34,VALUE(S34)),0)/2)*$F34*$F$27*20))</f>
        <v/>
      </c>
      <c r="U34" s="25">
        <f>IF(S34="","◄",IF(S34="NE","~",""))</f>
        <v/>
      </c>
      <c r="V34" s="23" t="n"/>
      <c r="W34" s="24">
        <f>IF(V34="","",IF(V34="NE","",(IFERROR(IF(ISNUMBER(V34),V34,VALUE(V34)),0)/2)*$F34*$F$27*20))</f>
        <v/>
      </c>
      <c r="X34" s="25">
        <f>IF(V34="","◄",IF(V34="NE","~",""))</f>
        <v/>
      </c>
      <c r="Y34" s="23" t="n"/>
      <c r="Z34" s="24">
        <f>IF(Y34="","",IF(Y34="NE","",(IFERROR(IF(ISNUMBER(Y34),Y34,VALUE(Y34)),0)/2)*$F34*$F$27*20))</f>
        <v/>
      </c>
      <c r="AA34" s="25">
        <f>IF(Y34="","◄",IF(Y34="NE","~",""))</f>
        <v/>
      </c>
      <c r="AB34" s="23" t="n"/>
      <c r="AC34" s="24">
        <f>IF(AB34="","",IF(AB34="NE","",(IFERROR(IF(ISNUMBER(AB34),AB34,VALUE(AB34)),0)/2)*$F34*$F$27*20))</f>
        <v/>
      </c>
      <c r="AD34" s="25">
        <f>IF(AB34="","◄",IF(AB34="NE","~",""))</f>
        <v/>
      </c>
      <c r="AE34" s="23" t="n"/>
      <c r="AF34" s="24">
        <f>IF(AE34="","",IF(AE34="NE","",(IFERROR(IF(ISNUMBER(AE34),AE34,VALUE(AE34)),0)/2)*$F34*$F$27*20))</f>
        <v/>
      </c>
      <c r="AG34" s="25">
        <f>IF(AE34="","◄",IF(AE34="NE","~",""))</f>
        <v/>
      </c>
      <c r="AH34" s="23" t="n"/>
      <c r="AI34" s="24">
        <f>IF(AH34="","",IF(AH34="NE","",(IFERROR(IF(ISNUMBER(AH34),AH34,VALUE(AH34)),0)/2)*$F34*$F$27*20))</f>
        <v/>
      </c>
      <c r="AJ34" s="25">
        <f>IF(AH34="","◄",IF(AH34="NE","~",""))</f>
        <v/>
      </c>
      <c r="AK34" s="23" t="n"/>
      <c r="AL34" s="24">
        <f>IF(AK34="","",IF(AK34="NE","",(IFERROR(IF(ISNUMBER(AK34),AK34,VALUE(AK34)),0)/2)*$F34*$F$27*20))</f>
        <v/>
      </c>
      <c r="AM34" s="25">
        <f>IF(AK34="","◄",IF(AK34="NE","~",""))</f>
        <v/>
      </c>
      <c r="AN34" s="23" t="n"/>
      <c r="AO34" s="24">
        <f>IF(AN34="","",IF(AN34="NE","",(IFERROR(IF(ISNUMBER(AN34),AN34,VALUE(AN34)),0)/2)*$F34*$F$27*20))</f>
        <v/>
      </c>
      <c r="AP34" s="25">
        <f>IF(AN34="","◄",IF(AN34="NE","~",""))</f>
        <v/>
      </c>
      <c r="AQ34" s="23" t="n"/>
      <c r="AR34" s="24">
        <f>IF(AQ34="","",IF(AQ34="NE","",(IFERROR(IF(ISNUMBER(AQ34),AQ34,VALUE(AQ34)),0)/2)*$F34*$F$27*20))</f>
        <v/>
      </c>
      <c r="AS34" s="25">
        <f>IF(AQ34="","◄",IF(AQ34="NE","~",""))</f>
        <v/>
      </c>
      <c r="AT34" s="23" t="n"/>
      <c r="AU34" s="24">
        <f>IF(AT34="","",IF(AT34="NE","",(IFERROR(IF(ISNUMBER(AT34),AT34,VALUE(AT34)),0)/2)*$F34*$F$27*20))</f>
        <v/>
      </c>
      <c r="AV34" s="25">
        <f>IF(AT34="","◄",IF(AT34="NE","~",""))</f>
        <v/>
      </c>
      <c r="AW34" s="23" t="n"/>
      <c r="AX34" s="24">
        <f>IF(AW34="","",IF(AW34="NE","",(IFERROR(IF(ISNUMBER(AW34),AW34,VALUE(AW34)),0)/2)*$F34*$F$27*20))</f>
        <v/>
      </c>
      <c r="AY34" s="25">
        <f>IF(AW34="","◄",IF(AW34="NE","~",""))</f>
        <v/>
      </c>
      <c r="AZ34" s="23" t="n"/>
      <c r="BA34" s="24">
        <f>IF(AZ34="","",IF(AZ34="NE","",(IFERROR(IF(ISNUMBER(AZ34),AZ34,VALUE(AZ34)),0)/2)*$F34*$F$27*20))</f>
        <v/>
      </c>
      <c r="BB34" s="25">
        <f>IF(AZ34="","◄",IF(AZ34="NE","~",""))</f>
        <v/>
      </c>
      <c r="BC34" s="23" t="n"/>
      <c r="BD34" s="24">
        <f>IF(BC34="","",IF(BC34="NE","",(IFERROR(IF(ISNUMBER(BC34),BC34,VALUE(BC34)),0)/2)*$F34*$F$27*20))</f>
        <v/>
      </c>
      <c r="BE34" s="25">
        <f>IF(BC34="","◄",IF(BC34="NE","~",""))</f>
        <v/>
      </c>
      <c r="BF34" s="23" t="n"/>
      <c r="BG34" s="24">
        <f>IF(BF34="","",IF(BF34="NE","",(IFERROR(IF(ISNUMBER(BF34),BF34,VALUE(BF34)),0)/2)*$F34*$F$27*20))</f>
        <v/>
      </c>
      <c r="BH34" s="25">
        <f>IF(BF34="","◄",IF(BF34="NE","~",""))</f>
        <v/>
      </c>
      <c r="BI34" s="23" t="n"/>
      <c r="BJ34" s="24">
        <f>IF(BI34="","",IF(BI34="NE","",(IFERROR(IF(ISNUMBER(BI34),BI34,VALUE(BI34)),0)/2)*$F34*$F$27*20))</f>
        <v/>
      </c>
      <c r="BK34" s="25">
        <f>IF(BI34="","◄",IF(BI34="NE","~",""))</f>
        <v/>
      </c>
      <c r="BL34" s="23" t="n"/>
      <c r="BM34" s="24">
        <f>IF(BL34="","",IF(BL34="NE","",(IFERROR(IF(ISNUMBER(BL34),BL34,VALUE(BL34)),0)/2)*$F34*$F$27*20))</f>
        <v/>
      </c>
      <c r="BN34" s="25">
        <f>IF(BL34="","◄",IF(BL34="NE","~",""))</f>
        <v/>
      </c>
      <c r="BO34" s="23" t="n"/>
      <c r="BP34" s="24">
        <f>IF(BO34="","",IF(BO34="NE","",(IFERROR(IF(ISNUMBER(BO34),BO34,VALUE(BO34)),0)/2)*$F34*$F$27*20))</f>
        <v/>
      </c>
      <c r="BQ34" s="25">
        <f>IF(BO34="","◄",IF(BO34="NE","~",""))</f>
        <v/>
      </c>
      <c r="BR34" s="23" t="n"/>
      <c r="BS34" s="24">
        <f>IF(BR34="","",IF(BR34="NE","",(IFERROR(IF(ISNUMBER(BR34),BR34,VALUE(BR34)),0)/2)*$F34*$F$27*20))</f>
        <v/>
      </c>
      <c r="BT34" s="25">
        <f>IF(BR34="","◄",IF(BR34="NE","~",""))</f>
        <v/>
      </c>
      <c r="BU34" s="23" t="n"/>
      <c r="BV34" s="24">
        <f>IF(BU34="","",IF(BU34="NE","",(IFERROR(IF(ISNUMBER(BU34),BU34,VALUE(BU34)),0)/2)*$F34*$F$27*20))</f>
        <v/>
      </c>
      <c r="BW34" s="25">
        <f>IF(BU34="","◄",IF(BU34="NE","~",""))</f>
        <v/>
      </c>
      <c r="BX34" s="23" t="n"/>
      <c r="BY34" s="24">
        <f>IF(BX34="","",IF(BX34="NE","",(IFERROR(IF(ISNUMBER(BX34),BX34,VALUE(BX34)),0)/2)*$F34*$F$27*20))</f>
        <v/>
      </c>
      <c r="BZ34" s="25">
        <f>IF(BX34="","◄",IF(BX34="NE","~",""))</f>
        <v/>
      </c>
      <c r="CA34" s="23" t="n"/>
      <c r="CB34" s="24">
        <f>IF(CA34="","",IF(CA34="NE","",(IFERROR(IF(ISNUMBER(CA34),CA34,VALUE(CA34)),0)/2)*$F34*$F$27*20))</f>
        <v/>
      </c>
      <c r="CC34" s="25">
        <f>IF(CA34="","◄",IF(CA34="NE","~",""))</f>
        <v/>
      </c>
      <c r="CD34" s="23" t="n"/>
      <c r="CE34" s="24">
        <f>IF(CD34="","",IF(CD34="NE","",(IFERROR(IF(ISNUMBER(CD34),CD34,VALUE(CD34)),0)/2)*$F34*$F$27*20))</f>
        <v/>
      </c>
      <c r="CF34" s="25">
        <f>IF(CD34="","◄",IF(CD34="NE","~",""))</f>
        <v/>
      </c>
      <c r="CG34" s="23" t="n"/>
      <c r="CH34" s="24">
        <f>IF(CG34="","",IF(CG34="NE","",(IFERROR(IF(ISNUMBER(CG34),CG34,VALUE(CG34)),0)/2)*$F34*$F$27*20))</f>
        <v/>
      </c>
      <c r="CI34" s="25">
        <f>IF(CG34="","◄",IF(CG34="NE","~",""))</f>
        <v/>
      </c>
      <c r="CJ34" s="23" t="n"/>
      <c r="CK34" s="24">
        <f>IF(CJ34="","",IF(CJ34="NE","",(IFERROR(IF(ISNUMBER(CJ34),CJ34,VALUE(CJ34)),0)/2)*$F34*$F$27*20))</f>
        <v/>
      </c>
      <c r="CL34" s="25">
        <f>IF(CJ34="","◄",IF(CJ34="NE","~",""))</f>
        <v/>
      </c>
      <c r="CM34" s="23" t="n"/>
      <c r="CN34" s="24">
        <f>IF(CM34="","",IF(CM34="NE","",(IFERROR(IF(ISNUMBER(CM34),CM34,VALUE(CM34)),0)/2)*$F34*$F$27*20))</f>
        <v/>
      </c>
      <c r="CO34" s="25">
        <f>IF(CM34="","◄",IF(CM34="NE","~",""))</f>
        <v/>
      </c>
      <c r="CP34" s="23" t="n"/>
      <c r="CQ34" s="24">
        <f>IF(CP34="","",IF(CP34="NE","",(IFERROR(IF(ISNUMBER(CP34),CP34,VALUE(CP34)),0)/2)*$F34*$F$27*20))</f>
        <v/>
      </c>
      <c r="CR34" s="25">
        <f>IF(CP34="","◄",IF(CP34="NE","~",""))</f>
        <v/>
      </c>
    </row>
    <row r="35" ht="22" customHeight="1">
      <c r="A35" s="14" t="inlineStr"/>
      <c r="B35" s="15" t="inlineStr">
        <is>
          <t>P5</t>
        </is>
      </c>
      <c r="C35" s="14" t="inlineStr"/>
      <c r="D35" s="16" t="inlineStr">
        <is>
          <t>Partie</t>
        </is>
      </c>
      <c r="E35" s="17" t="inlineStr">
        <is>
          <t>Peut-on valider l'implantation d'une torchère ?</t>
        </is>
      </c>
      <c r="F35" s="18" t="n">
        <v>0.25</v>
      </c>
      <c r="G35" s="14" t="n"/>
      <c r="H35" s="19">
        <f>IFERROR(SUM(H36:H43)/(SUMPRODUCT(($F$36:$F$43)*(G36:G43&lt;&gt;"")*(G36:G43&lt;&gt;"NE"))*$F$35),"")</f>
        <v/>
      </c>
      <c r="I35" s="14" t="n"/>
      <c r="J35" s="14" t="n"/>
      <c r="K35" s="19">
        <f>IFERROR(SUM(K36:K43)/(SUMPRODUCT(($F$36:$F$43)*(J36:J43&lt;&gt;"")*(J36:J43&lt;&gt;"NE"))*$F$35),"")</f>
        <v/>
      </c>
      <c r="L35" s="14" t="n"/>
      <c r="M35" s="14" t="n"/>
      <c r="N35" s="19">
        <f>IFERROR(SUM(N36:N43)/(SUMPRODUCT(($F$36:$F$43)*(M36:M43&lt;&gt;"")*(M36:M43&lt;&gt;"NE"))*$F$35),"")</f>
        <v/>
      </c>
      <c r="O35" s="14" t="n"/>
      <c r="P35" s="14" t="n"/>
      <c r="Q35" s="19">
        <f>IFERROR(SUM(Q36:Q43)/(SUMPRODUCT(($F$36:$F$43)*(P36:P43&lt;&gt;"")*(P36:P43&lt;&gt;"NE"))*$F$35),"")</f>
        <v/>
      </c>
      <c r="R35" s="14" t="n"/>
      <c r="S35" s="14" t="n"/>
      <c r="T35" s="19">
        <f>IFERROR(SUM(T36:T43)/(SUMPRODUCT(($F$36:$F$43)*(S36:S43&lt;&gt;"")*(S36:S43&lt;&gt;"NE"))*$F$35),"")</f>
        <v/>
      </c>
      <c r="U35" s="14" t="n"/>
      <c r="V35" s="14" t="n"/>
      <c r="W35" s="19">
        <f>IFERROR(SUM(W36:W43)/(SUMPRODUCT(($F$36:$F$43)*(V36:V43&lt;&gt;"")*(V36:V43&lt;&gt;"NE"))*$F$35),"")</f>
        <v/>
      </c>
      <c r="X35" s="14" t="n"/>
      <c r="Y35" s="14" t="n"/>
      <c r="Z35" s="19">
        <f>IFERROR(SUM(Z36:Z43)/(SUMPRODUCT(($F$36:$F$43)*(Y36:Y43&lt;&gt;"")*(Y36:Y43&lt;&gt;"NE"))*$F$35),"")</f>
        <v/>
      </c>
      <c r="AA35" s="14" t="n"/>
      <c r="AB35" s="14" t="n"/>
      <c r="AC35" s="19">
        <f>IFERROR(SUM(AC36:AC43)/(SUMPRODUCT(($F$36:$F$43)*(AB36:AB43&lt;&gt;"")*(AB36:AB43&lt;&gt;"NE"))*$F$35),"")</f>
        <v/>
      </c>
      <c r="AD35" s="14" t="n"/>
      <c r="AE35" s="14" t="n"/>
      <c r="AF35" s="19">
        <f>IFERROR(SUM(AF36:AF43)/(SUMPRODUCT(($F$36:$F$43)*(AE36:AE43&lt;&gt;"")*(AE36:AE43&lt;&gt;"NE"))*$F$35),"")</f>
        <v/>
      </c>
      <c r="AG35" s="14" t="n"/>
      <c r="AH35" s="14" t="n"/>
      <c r="AI35" s="19">
        <f>IFERROR(SUM(AI36:AI43)/(SUMPRODUCT(($F$36:$F$43)*(AH36:AH43&lt;&gt;"")*(AH36:AH43&lt;&gt;"NE"))*$F$35),"")</f>
        <v/>
      </c>
      <c r="AJ35" s="14" t="n"/>
      <c r="AK35" s="14" t="n"/>
      <c r="AL35" s="19">
        <f>IFERROR(SUM(AL36:AL43)/(SUMPRODUCT(($F$36:$F$43)*(AK36:AK43&lt;&gt;"")*(AK36:AK43&lt;&gt;"NE"))*$F$35),"")</f>
        <v/>
      </c>
      <c r="AM35" s="14" t="n"/>
      <c r="AN35" s="14" t="n"/>
      <c r="AO35" s="19">
        <f>IFERROR(SUM(AO36:AO43)/(SUMPRODUCT(($F$36:$F$43)*(AN36:AN43&lt;&gt;"")*(AN36:AN43&lt;&gt;"NE"))*$F$35),"")</f>
        <v/>
      </c>
      <c r="AP35" s="14" t="n"/>
      <c r="AQ35" s="14" t="n"/>
      <c r="AR35" s="19">
        <f>IFERROR(SUM(AR36:AR43)/(SUMPRODUCT(($F$36:$F$43)*(AQ36:AQ43&lt;&gt;"")*(AQ36:AQ43&lt;&gt;"NE"))*$F$35),"")</f>
        <v/>
      </c>
      <c r="AS35" s="14" t="n"/>
      <c r="AT35" s="14" t="n"/>
      <c r="AU35" s="19">
        <f>IFERROR(SUM(AU36:AU43)/(SUMPRODUCT(($F$36:$F$43)*(AT36:AT43&lt;&gt;"")*(AT36:AT43&lt;&gt;"NE"))*$F$35),"")</f>
        <v/>
      </c>
      <c r="AV35" s="14" t="n"/>
      <c r="AW35" s="14" t="n"/>
      <c r="AX35" s="19">
        <f>IFERROR(SUM(AX36:AX43)/(SUMPRODUCT(($F$36:$F$43)*(AW36:AW43&lt;&gt;"")*(AW36:AW43&lt;&gt;"NE"))*$F$35),"")</f>
        <v/>
      </c>
      <c r="AY35" s="14" t="n"/>
      <c r="AZ35" s="14" t="n"/>
      <c r="BA35" s="19">
        <f>IFERROR(SUM(BA36:BA43)/(SUMPRODUCT(($F$36:$F$43)*(AZ36:AZ43&lt;&gt;"")*(AZ36:AZ43&lt;&gt;"NE"))*$F$35),"")</f>
        <v/>
      </c>
      <c r="BB35" s="14" t="n"/>
      <c r="BC35" s="14" t="n"/>
      <c r="BD35" s="19">
        <f>IFERROR(SUM(BD36:BD43)/(SUMPRODUCT(($F$36:$F$43)*(BC36:BC43&lt;&gt;"")*(BC36:BC43&lt;&gt;"NE"))*$F$35),"")</f>
        <v/>
      </c>
      <c r="BE35" s="14" t="n"/>
      <c r="BF35" s="14" t="n"/>
      <c r="BG35" s="19">
        <f>IFERROR(SUM(BG36:BG43)/(SUMPRODUCT(($F$36:$F$43)*(BF36:BF43&lt;&gt;"")*(BF36:BF43&lt;&gt;"NE"))*$F$35),"")</f>
        <v/>
      </c>
      <c r="BH35" s="14" t="n"/>
      <c r="BI35" s="14" t="n"/>
      <c r="BJ35" s="19">
        <f>IFERROR(SUM(BJ36:BJ43)/(SUMPRODUCT(($F$36:$F$43)*(BI36:BI43&lt;&gt;"")*(BI36:BI43&lt;&gt;"NE"))*$F$35),"")</f>
        <v/>
      </c>
      <c r="BK35" s="14" t="n"/>
      <c r="BL35" s="14" t="n"/>
      <c r="BM35" s="19">
        <f>IFERROR(SUM(BM36:BM43)/(SUMPRODUCT(($F$36:$F$43)*(BL36:BL43&lt;&gt;"")*(BL36:BL43&lt;&gt;"NE"))*$F$35),"")</f>
        <v/>
      </c>
      <c r="BN35" s="14" t="n"/>
      <c r="BO35" s="14" t="n"/>
      <c r="BP35" s="19">
        <f>IFERROR(SUM(BP36:BP43)/(SUMPRODUCT(($F$36:$F$43)*(BO36:BO43&lt;&gt;"")*(BO36:BO43&lt;&gt;"NE"))*$F$35),"")</f>
        <v/>
      </c>
      <c r="BQ35" s="14" t="n"/>
      <c r="BR35" s="14" t="n"/>
      <c r="BS35" s="19">
        <f>IFERROR(SUM(BS36:BS43)/(SUMPRODUCT(($F$36:$F$43)*(BR36:BR43&lt;&gt;"")*(BR36:BR43&lt;&gt;"NE"))*$F$35),"")</f>
        <v/>
      </c>
      <c r="BT35" s="14" t="n"/>
      <c r="BU35" s="14" t="n"/>
      <c r="BV35" s="19">
        <f>IFERROR(SUM(BV36:BV43)/(SUMPRODUCT(($F$36:$F$43)*(BU36:BU43&lt;&gt;"")*(BU36:BU43&lt;&gt;"NE"))*$F$35),"")</f>
        <v/>
      </c>
      <c r="BW35" s="14" t="n"/>
      <c r="BX35" s="14" t="n"/>
      <c r="BY35" s="19">
        <f>IFERROR(SUM(BY36:BY43)/(SUMPRODUCT(($F$36:$F$43)*(BX36:BX43&lt;&gt;"")*(BX36:BX43&lt;&gt;"NE"))*$F$35),"")</f>
        <v/>
      </c>
      <c r="BZ35" s="14" t="n"/>
      <c r="CA35" s="14" t="n"/>
      <c r="CB35" s="19">
        <f>IFERROR(SUM(CB36:CB43)/(SUMPRODUCT(($F$36:$F$43)*(CA36:CA43&lt;&gt;"")*(CA36:CA43&lt;&gt;"NE"))*$F$35),"")</f>
        <v/>
      </c>
      <c r="CC35" s="14" t="n"/>
      <c r="CD35" s="14" t="n"/>
      <c r="CE35" s="19">
        <f>IFERROR(SUM(CE36:CE43)/(SUMPRODUCT(($F$36:$F$43)*(CD36:CD43&lt;&gt;"")*(CD36:CD43&lt;&gt;"NE"))*$F$35),"")</f>
        <v/>
      </c>
      <c r="CF35" s="14" t="n"/>
      <c r="CG35" s="14" t="n"/>
      <c r="CH35" s="19">
        <f>IFERROR(SUM(CH36:CH43)/(SUMPRODUCT(($F$36:$F$43)*(CG36:CG43&lt;&gt;"")*(CG36:CG43&lt;&gt;"NE"))*$F$35),"")</f>
        <v/>
      </c>
      <c r="CI35" s="14" t="n"/>
      <c r="CJ35" s="14" t="n"/>
      <c r="CK35" s="19">
        <f>IFERROR(SUM(CK36:CK43)/(SUMPRODUCT(($F$36:$F$43)*(CJ36:CJ43&lt;&gt;"")*(CJ36:CJ43&lt;&gt;"NE"))*$F$35),"")</f>
        <v/>
      </c>
      <c r="CL35" s="14" t="n"/>
      <c r="CM35" s="14" t="n"/>
      <c r="CN35" s="19">
        <f>IFERROR(SUM(CN36:CN43)/(SUMPRODUCT(($F$36:$F$43)*(CM36:CM43&lt;&gt;"")*(CM36:CM43&lt;&gt;"NE"))*$F$35),"")</f>
        <v/>
      </c>
      <c r="CO35" s="14" t="n"/>
      <c r="CP35" s="14" t="n"/>
      <c r="CQ35" s="19">
        <f>IFERROR(SUM(CQ36:CQ43)/(SUMPRODUCT(($F$36:$F$43)*(CP36:CP43&lt;&gt;"")*(CP36:CP43&lt;&gt;"NE"))*$F$35),"")</f>
        <v/>
      </c>
      <c r="CR35" s="14" t="n"/>
    </row>
    <row r="36" ht="36" customHeight="1">
      <c r="A36" s="20" t="n">
        <v>27</v>
      </c>
      <c r="B36" s="20" t="inlineStr">
        <is>
          <t>P5</t>
        </is>
      </c>
      <c r="C36" s="20" t="inlineStr">
        <is>
          <t>Q5.1</t>
        </is>
      </c>
      <c r="D36" s="20" t="inlineStr">
        <is>
          <t>Critère</t>
        </is>
      </c>
      <c r="E36" s="21" t="inlineStr">
        <is>
          <t>V = H·π·(R² − r²) avec H=7000mm, R=750mm, r=740mm → V ≈ 3,28·10⁸ mm³ = 0,328 m³.</t>
        </is>
      </c>
      <c r="F36" s="22" t="n">
        <v>0.25</v>
      </c>
      <c r="G36" s="23" t="n"/>
      <c r="H36" s="24">
        <f>IF(G36="","",IF(G36="NE","",(IFERROR(IF(ISNUMBER(G36),G36,VALUE(G36)),0)/2)*$F36*$F$35*20))</f>
        <v/>
      </c>
      <c r="I36" s="25">
        <f>IF(G36="","◄",IF(G36="NE","~",""))</f>
        <v/>
      </c>
      <c r="J36" s="23" t="n"/>
      <c r="K36" s="24">
        <f>IF(J36="","",IF(J36="NE","",(IFERROR(IF(ISNUMBER(J36),J36,VALUE(J36)),0)/2)*$F36*$F$35*20))</f>
        <v/>
      </c>
      <c r="L36" s="25">
        <f>IF(J36="","◄",IF(J36="NE","~",""))</f>
        <v/>
      </c>
      <c r="M36" s="23" t="n"/>
      <c r="N36" s="24">
        <f>IF(M36="","",IF(M36="NE","",(IFERROR(IF(ISNUMBER(M36),M36,VALUE(M36)),0)/2)*$F36*$F$35*20))</f>
        <v/>
      </c>
      <c r="O36" s="25">
        <f>IF(M36="","◄",IF(M36="NE","~",""))</f>
        <v/>
      </c>
      <c r="P36" s="23" t="n"/>
      <c r="Q36" s="24">
        <f>IF(P36="","",IF(P36="NE","",(IFERROR(IF(ISNUMBER(P36),P36,VALUE(P36)),0)/2)*$F36*$F$35*20))</f>
        <v/>
      </c>
      <c r="R36" s="25">
        <f>IF(P36="","◄",IF(P36="NE","~",""))</f>
        <v/>
      </c>
      <c r="S36" s="23" t="n"/>
      <c r="T36" s="24">
        <f>IF(S36="","",IF(S36="NE","",(IFERROR(IF(ISNUMBER(S36),S36,VALUE(S36)),0)/2)*$F36*$F$35*20))</f>
        <v/>
      </c>
      <c r="U36" s="25">
        <f>IF(S36="","◄",IF(S36="NE","~",""))</f>
        <v/>
      </c>
      <c r="V36" s="23" t="n"/>
      <c r="W36" s="24">
        <f>IF(V36="","",IF(V36="NE","",(IFERROR(IF(ISNUMBER(V36),V36,VALUE(V36)),0)/2)*$F36*$F$35*20))</f>
        <v/>
      </c>
      <c r="X36" s="25">
        <f>IF(V36="","◄",IF(V36="NE","~",""))</f>
        <v/>
      </c>
      <c r="Y36" s="23" t="n"/>
      <c r="Z36" s="24">
        <f>IF(Y36="","",IF(Y36="NE","",(IFERROR(IF(ISNUMBER(Y36),Y36,VALUE(Y36)),0)/2)*$F36*$F$35*20))</f>
        <v/>
      </c>
      <c r="AA36" s="25">
        <f>IF(Y36="","◄",IF(Y36="NE","~",""))</f>
        <v/>
      </c>
      <c r="AB36" s="23" t="n"/>
      <c r="AC36" s="24">
        <f>IF(AB36="","",IF(AB36="NE","",(IFERROR(IF(ISNUMBER(AB36),AB36,VALUE(AB36)),0)/2)*$F36*$F$35*20))</f>
        <v/>
      </c>
      <c r="AD36" s="25">
        <f>IF(AB36="","◄",IF(AB36="NE","~",""))</f>
        <v/>
      </c>
      <c r="AE36" s="23" t="n"/>
      <c r="AF36" s="24">
        <f>IF(AE36="","",IF(AE36="NE","",(IFERROR(IF(ISNUMBER(AE36),AE36,VALUE(AE36)),0)/2)*$F36*$F$35*20))</f>
        <v/>
      </c>
      <c r="AG36" s="25">
        <f>IF(AE36="","◄",IF(AE36="NE","~",""))</f>
        <v/>
      </c>
      <c r="AH36" s="23" t="n"/>
      <c r="AI36" s="24">
        <f>IF(AH36="","",IF(AH36="NE","",(IFERROR(IF(ISNUMBER(AH36),AH36,VALUE(AH36)),0)/2)*$F36*$F$35*20))</f>
        <v/>
      </c>
      <c r="AJ36" s="25">
        <f>IF(AH36="","◄",IF(AH36="NE","~",""))</f>
        <v/>
      </c>
      <c r="AK36" s="23" t="n"/>
      <c r="AL36" s="24">
        <f>IF(AK36="","",IF(AK36="NE","",(IFERROR(IF(ISNUMBER(AK36),AK36,VALUE(AK36)),0)/2)*$F36*$F$35*20))</f>
        <v/>
      </c>
      <c r="AM36" s="25">
        <f>IF(AK36="","◄",IF(AK36="NE","~",""))</f>
        <v/>
      </c>
      <c r="AN36" s="23" t="n"/>
      <c r="AO36" s="24">
        <f>IF(AN36="","",IF(AN36="NE","",(IFERROR(IF(ISNUMBER(AN36),AN36,VALUE(AN36)),0)/2)*$F36*$F$35*20))</f>
        <v/>
      </c>
      <c r="AP36" s="25">
        <f>IF(AN36="","◄",IF(AN36="NE","~",""))</f>
        <v/>
      </c>
      <c r="AQ36" s="23" t="n"/>
      <c r="AR36" s="24">
        <f>IF(AQ36="","",IF(AQ36="NE","",(IFERROR(IF(ISNUMBER(AQ36),AQ36,VALUE(AQ36)),0)/2)*$F36*$F$35*20))</f>
        <v/>
      </c>
      <c r="AS36" s="25">
        <f>IF(AQ36="","◄",IF(AQ36="NE","~",""))</f>
        <v/>
      </c>
      <c r="AT36" s="23" t="n"/>
      <c r="AU36" s="24">
        <f>IF(AT36="","",IF(AT36="NE","",(IFERROR(IF(ISNUMBER(AT36),AT36,VALUE(AT36)),0)/2)*$F36*$F$35*20))</f>
        <v/>
      </c>
      <c r="AV36" s="25">
        <f>IF(AT36="","◄",IF(AT36="NE","~",""))</f>
        <v/>
      </c>
      <c r="AW36" s="23" t="n"/>
      <c r="AX36" s="24">
        <f>IF(AW36="","",IF(AW36="NE","",(IFERROR(IF(ISNUMBER(AW36),AW36,VALUE(AW36)),0)/2)*$F36*$F$35*20))</f>
        <v/>
      </c>
      <c r="AY36" s="25">
        <f>IF(AW36="","◄",IF(AW36="NE","~",""))</f>
        <v/>
      </c>
      <c r="AZ36" s="23" t="n"/>
      <c r="BA36" s="24">
        <f>IF(AZ36="","",IF(AZ36="NE","",(IFERROR(IF(ISNUMBER(AZ36),AZ36,VALUE(AZ36)),0)/2)*$F36*$F$35*20))</f>
        <v/>
      </c>
      <c r="BB36" s="25">
        <f>IF(AZ36="","◄",IF(AZ36="NE","~",""))</f>
        <v/>
      </c>
      <c r="BC36" s="23" t="n"/>
      <c r="BD36" s="24">
        <f>IF(BC36="","",IF(BC36="NE","",(IFERROR(IF(ISNUMBER(BC36),BC36,VALUE(BC36)),0)/2)*$F36*$F$35*20))</f>
        <v/>
      </c>
      <c r="BE36" s="25">
        <f>IF(BC36="","◄",IF(BC36="NE","~",""))</f>
        <v/>
      </c>
      <c r="BF36" s="23" t="n"/>
      <c r="BG36" s="24">
        <f>IF(BF36="","",IF(BF36="NE","",(IFERROR(IF(ISNUMBER(BF36),BF36,VALUE(BF36)),0)/2)*$F36*$F$35*20))</f>
        <v/>
      </c>
      <c r="BH36" s="25">
        <f>IF(BF36="","◄",IF(BF36="NE","~",""))</f>
        <v/>
      </c>
      <c r="BI36" s="23" t="n"/>
      <c r="BJ36" s="24">
        <f>IF(BI36="","",IF(BI36="NE","",(IFERROR(IF(ISNUMBER(BI36),BI36,VALUE(BI36)),0)/2)*$F36*$F$35*20))</f>
        <v/>
      </c>
      <c r="BK36" s="25">
        <f>IF(BI36="","◄",IF(BI36="NE","~",""))</f>
        <v/>
      </c>
      <c r="BL36" s="23" t="n"/>
      <c r="BM36" s="24">
        <f>IF(BL36="","",IF(BL36="NE","",(IFERROR(IF(ISNUMBER(BL36),BL36,VALUE(BL36)),0)/2)*$F36*$F$35*20))</f>
        <v/>
      </c>
      <c r="BN36" s="25">
        <f>IF(BL36="","◄",IF(BL36="NE","~",""))</f>
        <v/>
      </c>
      <c r="BO36" s="23" t="n"/>
      <c r="BP36" s="24">
        <f>IF(BO36="","",IF(BO36="NE","",(IFERROR(IF(ISNUMBER(BO36),BO36,VALUE(BO36)),0)/2)*$F36*$F$35*20))</f>
        <v/>
      </c>
      <c r="BQ36" s="25">
        <f>IF(BO36="","◄",IF(BO36="NE","~",""))</f>
        <v/>
      </c>
      <c r="BR36" s="23" t="n"/>
      <c r="BS36" s="24">
        <f>IF(BR36="","",IF(BR36="NE","",(IFERROR(IF(ISNUMBER(BR36),BR36,VALUE(BR36)),0)/2)*$F36*$F$35*20))</f>
        <v/>
      </c>
      <c r="BT36" s="25">
        <f>IF(BR36="","◄",IF(BR36="NE","~",""))</f>
        <v/>
      </c>
      <c r="BU36" s="23" t="n"/>
      <c r="BV36" s="24">
        <f>IF(BU36="","",IF(BU36="NE","",(IFERROR(IF(ISNUMBER(BU36),BU36,VALUE(BU36)),0)/2)*$F36*$F$35*20))</f>
        <v/>
      </c>
      <c r="BW36" s="25">
        <f>IF(BU36="","◄",IF(BU36="NE","~",""))</f>
        <v/>
      </c>
      <c r="BX36" s="23" t="n"/>
      <c r="BY36" s="24">
        <f>IF(BX36="","",IF(BX36="NE","",(IFERROR(IF(ISNUMBER(BX36),BX36,VALUE(BX36)),0)/2)*$F36*$F$35*20))</f>
        <v/>
      </c>
      <c r="BZ36" s="25">
        <f>IF(BX36="","◄",IF(BX36="NE","~",""))</f>
        <v/>
      </c>
      <c r="CA36" s="23" t="n"/>
      <c r="CB36" s="24">
        <f>IF(CA36="","",IF(CA36="NE","",(IFERROR(IF(ISNUMBER(CA36),CA36,VALUE(CA36)),0)/2)*$F36*$F$35*20))</f>
        <v/>
      </c>
      <c r="CC36" s="25">
        <f>IF(CA36="","◄",IF(CA36="NE","~",""))</f>
        <v/>
      </c>
      <c r="CD36" s="23" t="n"/>
      <c r="CE36" s="24">
        <f>IF(CD36="","",IF(CD36="NE","",(IFERROR(IF(ISNUMBER(CD36),CD36,VALUE(CD36)),0)/2)*$F36*$F$35*20))</f>
        <v/>
      </c>
      <c r="CF36" s="25">
        <f>IF(CD36="","◄",IF(CD36="NE","~",""))</f>
        <v/>
      </c>
      <c r="CG36" s="23" t="n"/>
      <c r="CH36" s="24">
        <f>IF(CG36="","",IF(CG36="NE","",(IFERROR(IF(ISNUMBER(CG36),CG36,VALUE(CG36)),0)/2)*$F36*$F$35*20))</f>
        <v/>
      </c>
      <c r="CI36" s="25">
        <f>IF(CG36="","◄",IF(CG36="NE","~",""))</f>
        <v/>
      </c>
      <c r="CJ36" s="23" t="n"/>
      <c r="CK36" s="24">
        <f>IF(CJ36="","",IF(CJ36="NE","",(IFERROR(IF(ISNUMBER(CJ36),CJ36,VALUE(CJ36)),0)/2)*$F36*$F$35*20))</f>
        <v/>
      </c>
      <c r="CL36" s="25">
        <f>IF(CJ36="","◄",IF(CJ36="NE","~",""))</f>
        <v/>
      </c>
      <c r="CM36" s="23" t="n"/>
      <c r="CN36" s="24">
        <f>IF(CM36="","",IF(CM36="NE","",(IFERROR(IF(ISNUMBER(CM36),CM36,VALUE(CM36)),0)/2)*$F36*$F$35*20))</f>
        <v/>
      </c>
      <c r="CO36" s="25">
        <f>IF(CM36="","◄",IF(CM36="NE","~",""))</f>
        <v/>
      </c>
      <c r="CP36" s="23" t="n"/>
      <c r="CQ36" s="24">
        <f>IF(CP36="","",IF(CP36="NE","",(IFERROR(IF(ISNUMBER(CP36),CP36,VALUE(CP36)),0)/2)*$F36*$F$35*20))</f>
        <v/>
      </c>
      <c r="CR36" s="25">
        <f>IF(CP36="","◄",IF(CP36="NE","~",""))</f>
        <v/>
      </c>
    </row>
    <row r="37" ht="36" customHeight="1">
      <c r="A37" s="20" t="n">
        <v>28</v>
      </c>
      <c r="B37" s="20" t="inlineStr">
        <is>
          <t>P5</t>
        </is>
      </c>
      <c r="C37" s="20" t="inlineStr">
        <is>
          <t>Q5.2</t>
        </is>
      </c>
      <c r="D37" s="20" t="inlineStr">
        <is>
          <t>Critère</t>
        </is>
      </c>
      <c r="E37" s="21" t="inlineStr">
        <is>
          <t>Masse fût = ρ × V = 8000 × 0,328 = 2 624 kg.</t>
        </is>
      </c>
      <c r="F37" s="22" t="n">
        <v>0.2</v>
      </c>
      <c r="G37" s="23" t="n"/>
      <c r="H37" s="24">
        <f>IF(G37="","",IF(G37="NE","",(IFERROR(IF(ISNUMBER(G37),G37,VALUE(G37)),0)/2)*$F37*$F$35*20))</f>
        <v/>
      </c>
      <c r="I37" s="25">
        <f>IF(G37="","◄",IF(G37="NE","~",""))</f>
        <v/>
      </c>
      <c r="J37" s="23" t="n"/>
      <c r="K37" s="24">
        <f>IF(J37="","",IF(J37="NE","",(IFERROR(IF(ISNUMBER(J37),J37,VALUE(J37)),0)/2)*$F37*$F$35*20))</f>
        <v/>
      </c>
      <c r="L37" s="25">
        <f>IF(J37="","◄",IF(J37="NE","~",""))</f>
        <v/>
      </c>
      <c r="M37" s="23" t="n"/>
      <c r="N37" s="24">
        <f>IF(M37="","",IF(M37="NE","",(IFERROR(IF(ISNUMBER(M37),M37,VALUE(M37)),0)/2)*$F37*$F$35*20))</f>
        <v/>
      </c>
      <c r="O37" s="25">
        <f>IF(M37="","◄",IF(M37="NE","~",""))</f>
        <v/>
      </c>
      <c r="P37" s="23" t="n"/>
      <c r="Q37" s="24">
        <f>IF(P37="","",IF(P37="NE","",(IFERROR(IF(ISNUMBER(P37),P37,VALUE(P37)),0)/2)*$F37*$F$35*20))</f>
        <v/>
      </c>
      <c r="R37" s="25">
        <f>IF(P37="","◄",IF(P37="NE","~",""))</f>
        <v/>
      </c>
      <c r="S37" s="23" t="n"/>
      <c r="T37" s="24">
        <f>IF(S37="","",IF(S37="NE","",(IFERROR(IF(ISNUMBER(S37),S37,VALUE(S37)),0)/2)*$F37*$F$35*20))</f>
        <v/>
      </c>
      <c r="U37" s="25">
        <f>IF(S37="","◄",IF(S37="NE","~",""))</f>
        <v/>
      </c>
      <c r="V37" s="23" t="n"/>
      <c r="W37" s="24">
        <f>IF(V37="","",IF(V37="NE","",(IFERROR(IF(ISNUMBER(V37),V37,VALUE(V37)),0)/2)*$F37*$F$35*20))</f>
        <v/>
      </c>
      <c r="X37" s="25">
        <f>IF(V37="","◄",IF(V37="NE","~",""))</f>
        <v/>
      </c>
      <c r="Y37" s="23" t="n"/>
      <c r="Z37" s="24">
        <f>IF(Y37="","",IF(Y37="NE","",(IFERROR(IF(ISNUMBER(Y37),Y37,VALUE(Y37)),0)/2)*$F37*$F$35*20))</f>
        <v/>
      </c>
      <c r="AA37" s="25">
        <f>IF(Y37="","◄",IF(Y37="NE","~",""))</f>
        <v/>
      </c>
      <c r="AB37" s="23" t="n"/>
      <c r="AC37" s="24">
        <f>IF(AB37="","",IF(AB37="NE","",(IFERROR(IF(ISNUMBER(AB37),AB37,VALUE(AB37)),0)/2)*$F37*$F$35*20))</f>
        <v/>
      </c>
      <c r="AD37" s="25">
        <f>IF(AB37="","◄",IF(AB37="NE","~",""))</f>
        <v/>
      </c>
      <c r="AE37" s="23" t="n"/>
      <c r="AF37" s="24">
        <f>IF(AE37="","",IF(AE37="NE","",(IFERROR(IF(ISNUMBER(AE37),AE37,VALUE(AE37)),0)/2)*$F37*$F$35*20))</f>
        <v/>
      </c>
      <c r="AG37" s="25">
        <f>IF(AE37="","◄",IF(AE37="NE","~",""))</f>
        <v/>
      </c>
      <c r="AH37" s="23" t="n"/>
      <c r="AI37" s="24">
        <f>IF(AH37="","",IF(AH37="NE","",(IFERROR(IF(ISNUMBER(AH37),AH37,VALUE(AH37)),0)/2)*$F37*$F$35*20))</f>
        <v/>
      </c>
      <c r="AJ37" s="25">
        <f>IF(AH37="","◄",IF(AH37="NE","~",""))</f>
        <v/>
      </c>
      <c r="AK37" s="23" t="n"/>
      <c r="AL37" s="24">
        <f>IF(AK37="","",IF(AK37="NE","",(IFERROR(IF(ISNUMBER(AK37),AK37,VALUE(AK37)),0)/2)*$F37*$F$35*20))</f>
        <v/>
      </c>
      <c r="AM37" s="25">
        <f>IF(AK37="","◄",IF(AK37="NE","~",""))</f>
        <v/>
      </c>
      <c r="AN37" s="23" t="n"/>
      <c r="AO37" s="24">
        <f>IF(AN37="","",IF(AN37="NE","",(IFERROR(IF(ISNUMBER(AN37),AN37,VALUE(AN37)),0)/2)*$F37*$F$35*20))</f>
        <v/>
      </c>
      <c r="AP37" s="25">
        <f>IF(AN37="","◄",IF(AN37="NE","~",""))</f>
        <v/>
      </c>
      <c r="AQ37" s="23" t="n"/>
      <c r="AR37" s="24">
        <f>IF(AQ37="","",IF(AQ37="NE","",(IFERROR(IF(ISNUMBER(AQ37),AQ37,VALUE(AQ37)),0)/2)*$F37*$F$35*20))</f>
        <v/>
      </c>
      <c r="AS37" s="25">
        <f>IF(AQ37="","◄",IF(AQ37="NE","~",""))</f>
        <v/>
      </c>
      <c r="AT37" s="23" t="n"/>
      <c r="AU37" s="24">
        <f>IF(AT37="","",IF(AT37="NE","",(IFERROR(IF(ISNUMBER(AT37),AT37,VALUE(AT37)),0)/2)*$F37*$F$35*20))</f>
        <v/>
      </c>
      <c r="AV37" s="25">
        <f>IF(AT37="","◄",IF(AT37="NE","~",""))</f>
        <v/>
      </c>
      <c r="AW37" s="23" t="n"/>
      <c r="AX37" s="24">
        <f>IF(AW37="","",IF(AW37="NE","",(IFERROR(IF(ISNUMBER(AW37),AW37,VALUE(AW37)),0)/2)*$F37*$F$35*20))</f>
        <v/>
      </c>
      <c r="AY37" s="25">
        <f>IF(AW37="","◄",IF(AW37="NE","~",""))</f>
        <v/>
      </c>
      <c r="AZ37" s="23" t="n"/>
      <c r="BA37" s="24">
        <f>IF(AZ37="","",IF(AZ37="NE","",(IFERROR(IF(ISNUMBER(AZ37),AZ37,VALUE(AZ37)),0)/2)*$F37*$F$35*20))</f>
        <v/>
      </c>
      <c r="BB37" s="25">
        <f>IF(AZ37="","◄",IF(AZ37="NE","~",""))</f>
        <v/>
      </c>
      <c r="BC37" s="23" t="n"/>
      <c r="BD37" s="24">
        <f>IF(BC37="","",IF(BC37="NE","",(IFERROR(IF(ISNUMBER(BC37),BC37,VALUE(BC37)),0)/2)*$F37*$F$35*20))</f>
        <v/>
      </c>
      <c r="BE37" s="25">
        <f>IF(BC37="","◄",IF(BC37="NE","~",""))</f>
        <v/>
      </c>
      <c r="BF37" s="23" t="n"/>
      <c r="BG37" s="24">
        <f>IF(BF37="","",IF(BF37="NE","",(IFERROR(IF(ISNUMBER(BF37),BF37,VALUE(BF37)),0)/2)*$F37*$F$35*20))</f>
        <v/>
      </c>
      <c r="BH37" s="25">
        <f>IF(BF37="","◄",IF(BF37="NE","~",""))</f>
        <v/>
      </c>
      <c r="BI37" s="23" t="n"/>
      <c r="BJ37" s="24">
        <f>IF(BI37="","",IF(BI37="NE","",(IFERROR(IF(ISNUMBER(BI37),BI37,VALUE(BI37)),0)/2)*$F37*$F$35*20))</f>
        <v/>
      </c>
      <c r="BK37" s="25">
        <f>IF(BI37="","◄",IF(BI37="NE","~",""))</f>
        <v/>
      </c>
      <c r="BL37" s="23" t="n"/>
      <c r="BM37" s="24">
        <f>IF(BL37="","",IF(BL37="NE","",(IFERROR(IF(ISNUMBER(BL37),BL37,VALUE(BL37)),0)/2)*$F37*$F$35*20))</f>
        <v/>
      </c>
      <c r="BN37" s="25">
        <f>IF(BL37="","◄",IF(BL37="NE","~",""))</f>
        <v/>
      </c>
      <c r="BO37" s="23" t="n"/>
      <c r="BP37" s="24">
        <f>IF(BO37="","",IF(BO37="NE","",(IFERROR(IF(ISNUMBER(BO37),BO37,VALUE(BO37)),0)/2)*$F37*$F$35*20))</f>
        <v/>
      </c>
      <c r="BQ37" s="25">
        <f>IF(BO37="","◄",IF(BO37="NE","~",""))</f>
        <v/>
      </c>
      <c r="BR37" s="23" t="n"/>
      <c r="BS37" s="24">
        <f>IF(BR37="","",IF(BR37="NE","",(IFERROR(IF(ISNUMBER(BR37),BR37,VALUE(BR37)),0)/2)*$F37*$F$35*20))</f>
        <v/>
      </c>
      <c r="BT37" s="25">
        <f>IF(BR37="","◄",IF(BR37="NE","~",""))</f>
        <v/>
      </c>
      <c r="BU37" s="23" t="n"/>
      <c r="BV37" s="24">
        <f>IF(BU37="","",IF(BU37="NE","",(IFERROR(IF(ISNUMBER(BU37),BU37,VALUE(BU37)),0)/2)*$F37*$F$35*20))</f>
        <v/>
      </c>
      <c r="BW37" s="25">
        <f>IF(BU37="","◄",IF(BU37="NE","~",""))</f>
        <v/>
      </c>
      <c r="BX37" s="23" t="n"/>
      <c r="BY37" s="24">
        <f>IF(BX37="","",IF(BX37="NE","",(IFERROR(IF(ISNUMBER(BX37),BX37,VALUE(BX37)),0)/2)*$F37*$F$35*20))</f>
        <v/>
      </c>
      <c r="BZ37" s="25">
        <f>IF(BX37="","◄",IF(BX37="NE","~",""))</f>
        <v/>
      </c>
      <c r="CA37" s="23" t="n"/>
      <c r="CB37" s="24">
        <f>IF(CA37="","",IF(CA37="NE","",(IFERROR(IF(ISNUMBER(CA37),CA37,VALUE(CA37)),0)/2)*$F37*$F$35*20))</f>
        <v/>
      </c>
      <c r="CC37" s="25">
        <f>IF(CA37="","◄",IF(CA37="NE","~",""))</f>
        <v/>
      </c>
      <c r="CD37" s="23" t="n"/>
      <c r="CE37" s="24">
        <f>IF(CD37="","",IF(CD37="NE","",(IFERROR(IF(ISNUMBER(CD37),CD37,VALUE(CD37)),0)/2)*$F37*$F$35*20))</f>
        <v/>
      </c>
      <c r="CF37" s="25">
        <f>IF(CD37="","◄",IF(CD37="NE","~",""))</f>
        <v/>
      </c>
      <c r="CG37" s="23" t="n"/>
      <c r="CH37" s="24">
        <f>IF(CG37="","",IF(CG37="NE","",(IFERROR(IF(ISNUMBER(CG37),CG37,VALUE(CG37)),0)/2)*$F37*$F$35*20))</f>
        <v/>
      </c>
      <c r="CI37" s="25">
        <f>IF(CG37="","◄",IF(CG37="NE","~",""))</f>
        <v/>
      </c>
      <c r="CJ37" s="23" t="n"/>
      <c r="CK37" s="24">
        <f>IF(CJ37="","",IF(CJ37="NE","",(IFERROR(IF(ISNUMBER(CJ37),CJ37,VALUE(CJ37)),0)/2)*$F37*$F$35*20))</f>
        <v/>
      </c>
      <c r="CL37" s="25">
        <f>IF(CJ37="","◄",IF(CJ37="NE","~",""))</f>
        <v/>
      </c>
      <c r="CM37" s="23" t="n"/>
      <c r="CN37" s="24">
        <f>IF(CM37="","",IF(CM37="NE","",(IFERROR(IF(ISNUMBER(CM37),CM37,VALUE(CM37)),0)/2)*$F37*$F$35*20))</f>
        <v/>
      </c>
      <c r="CO37" s="25">
        <f>IF(CM37="","◄",IF(CM37="NE","~",""))</f>
        <v/>
      </c>
      <c r="CP37" s="23" t="n"/>
      <c r="CQ37" s="24">
        <f>IF(CP37="","",IF(CP37="NE","",(IFERROR(IF(ISNUMBER(CP37),CP37,VALUE(CP37)),0)/2)*$F37*$F$35*20))</f>
        <v/>
      </c>
      <c r="CR37" s="25">
        <f>IF(CP37="","◄",IF(CP37="NE","~",""))</f>
        <v/>
      </c>
    </row>
    <row r="38" ht="36" customHeight="1">
      <c r="A38" s="20" t="n">
        <v>29</v>
      </c>
      <c r="B38" s="20" t="inlineStr">
        <is>
          <t>P5</t>
        </is>
      </c>
      <c r="C38" s="20" t="inlineStr">
        <is>
          <t>Q5.2</t>
        </is>
      </c>
      <c r="D38" s="20" t="inlineStr">
        <is>
          <t>Critère</t>
        </is>
      </c>
      <c r="E38" s="21" t="inlineStr">
        <is>
          <t>Charge totale = 9,81 × (2624 + 1250) = 38 004 N ; P_c par cornière = 38 004/4 = 9 501 N.</t>
        </is>
      </c>
      <c r="F38" s="22" t="n">
        <v>0.2</v>
      </c>
      <c r="G38" s="23" t="n"/>
      <c r="H38" s="24">
        <f>IF(G38="","",IF(G38="NE","",(IFERROR(IF(ISNUMBER(G38),G38,VALUE(G38)),0)/2)*$F38*$F$35*20))</f>
        <v/>
      </c>
      <c r="I38" s="25">
        <f>IF(G38="","◄",IF(G38="NE","~",""))</f>
        <v/>
      </c>
      <c r="J38" s="23" t="n"/>
      <c r="K38" s="24">
        <f>IF(J38="","",IF(J38="NE","",(IFERROR(IF(ISNUMBER(J38),J38,VALUE(J38)),0)/2)*$F38*$F$35*20))</f>
        <v/>
      </c>
      <c r="L38" s="25">
        <f>IF(J38="","◄",IF(J38="NE","~",""))</f>
        <v/>
      </c>
      <c r="M38" s="23" t="n"/>
      <c r="N38" s="24">
        <f>IF(M38="","",IF(M38="NE","",(IFERROR(IF(ISNUMBER(M38),M38,VALUE(M38)),0)/2)*$F38*$F$35*20))</f>
        <v/>
      </c>
      <c r="O38" s="25">
        <f>IF(M38="","◄",IF(M38="NE","~",""))</f>
        <v/>
      </c>
      <c r="P38" s="23" t="n"/>
      <c r="Q38" s="24">
        <f>IF(P38="","",IF(P38="NE","",(IFERROR(IF(ISNUMBER(P38),P38,VALUE(P38)),0)/2)*$F38*$F$35*20))</f>
        <v/>
      </c>
      <c r="R38" s="25">
        <f>IF(P38="","◄",IF(P38="NE","~",""))</f>
        <v/>
      </c>
      <c r="S38" s="23" t="n"/>
      <c r="T38" s="24">
        <f>IF(S38="","",IF(S38="NE","",(IFERROR(IF(ISNUMBER(S38),S38,VALUE(S38)),0)/2)*$F38*$F$35*20))</f>
        <v/>
      </c>
      <c r="U38" s="25">
        <f>IF(S38="","◄",IF(S38="NE","~",""))</f>
        <v/>
      </c>
      <c r="V38" s="23" t="n"/>
      <c r="W38" s="24">
        <f>IF(V38="","",IF(V38="NE","",(IFERROR(IF(ISNUMBER(V38),V38,VALUE(V38)),0)/2)*$F38*$F$35*20))</f>
        <v/>
      </c>
      <c r="X38" s="25">
        <f>IF(V38="","◄",IF(V38="NE","~",""))</f>
        <v/>
      </c>
      <c r="Y38" s="23" t="n"/>
      <c r="Z38" s="24">
        <f>IF(Y38="","",IF(Y38="NE","",(IFERROR(IF(ISNUMBER(Y38),Y38,VALUE(Y38)),0)/2)*$F38*$F$35*20))</f>
        <v/>
      </c>
      <c r="AA38" s="25">
        <f>IF(Y38="","◄",IF(Y38="NE","~",""))</f>
        <v/>
      </c>
      <c r="AB38" s="23" t="n"/>
      <c r="AC38" s="24">
        <f>IF(AB38="","",IF(AB38="NE","",(IFERROR(IF(ISNUMBER(AB38),AB38,VALUE(AB38)),0)/2)*$F38*$F$35*20))</f>
        <v/>
      </c>
      <c r="AD38" s="25">
        <f>IF(AB38="","◄",IF(AB38="NE","~",""))</f>
        <v/>
      </c>
      <c r="AE38" s="23" t="n"/>
      <c r="AF38" s="24">
        <f>IF(AE38="","",IF(AE38="NE","",(IFERROR(IF(ISNUMBER(AE38),AE38,VALUE(AE38)),0)/2)*$F38*$F$35*20))</f>
        <v/>
      </c>
      <c r="AG38" s="25">
        <f>IF(AE38="","◄",IF(AE38="NE","~",""))</f>
        <v/>
      </c>
      <c r="AH38" s="23" t="n"/>
      <c r="AI38" s="24">
        <f>IF(AH38="","",IF(AH38="NE","",(IFERROR(IF(ISNUMBER(AH38),AH38,VALUE(AH38)),0)/2)*$F38*$F$35*20))</f>
        <v/>
      </c>
      <c r="AJ38" s="25">
        <f>IF(AH38="","◄",IF(AH38="NE","~",""))</f>
        <v/>
      </c>
      <c r="AK38" s="23" t="n"/>
      <c r="AL38" s="24">
        <f>IF(AK38="","",IF(AK38="NE","",(IFERROR(IF(ISNUMBER(AK38),AK38,VALUE(AK38)),0)/2)*$F38*$F$35*20))</f>
        <v/>
      </c>
      <c r="AM38" s="25">
        <f>IF(AK38="","◄",IF(AK38="NE","~",""))</f>
        <v/>
      </c>
      <c r="AN38" s="23" t="n"/>
      <c r="AO38" s="24">
        <f>IF(AN38="","",IF(AN38="NE","",(IFERROR(IF(ISNUMBER(AN38),AN38,VALUE(AN38)),0)/2)*$F38*$F$35*20))</f>
        <v/>
      </c>
      <c r="AP38" s="25">
        <f>IF(AN38="","◄",IF(AN38="NE","~",""))</f>
        <v/>
      </c>
      <c r="AQ38" s="23" t="n"/>
      <c r="AR38" s="24">
        <f>IF(AQ38="","",IF(AQ38="NE","",(IFERROR(IF(ISNUMBER(AQ38),AQ38,VALUE(AQ38)),0)/2)*$F38*$F$35*20))</f>
        <v/>
      </c>
      <c r="AS38" s="25">
        <f>IF(AQ38="","◄",IF(AQ38="NE","~",""))</f>
        <v/>
      </c>
      <c r="AT38" s="23" t="n"/>
      <c r="AU38" s="24">
        <f>IF(AT38="","",IF(AT38="NE","",(IFERROR(IF(ISNUMBER(AT38),AT38,VALUE(AT38)),0)/2)*$F38*$F$35*20))</f>
        <v/>
      </c>
      <c r="AV38" s="25">
        <f>IF(AT38="","◄",IF(AT38="NE","~",""))</f>
        <v/>
      </c>
      <c r="AW38" s="23" t="n"/>
      <c r="AX38" s="24">
        <f>IF(AW38="","",IF(AW38="NE","",(IFERROR(IF(ISNUMBER(AW38),AW38,VALUE(AW38)),0)/2)*$F38*$F$35*20))</f>
        <v/>
      </c>
      <c r="AY38" s="25">
        <f>IF(AW38="","◄",IF(AW38="NE","~",""))</f>
        <v/>
      </c>
      <c r="AZ38" s="23" t="n"/>
      <c r="BA38" s="24">
        <f>IF(AZ38="","",IF(AZ38="NE","",(IFERROR(IF(ISNUMBER(AZ38),AZ38,VALUE(AZ38)),0)/2)*$F38*$F$35*20))</f>
        <v/>
      </c>
      <c r="BB38" s="25">
        <f>IF(AZ38="","◄",IF(AZ38="NE","~",""))</f>
        <v/>
      </c>
      <c r="BC38" s="23" t="n"/>
      <c r="BD38" s="24">
        <f>IF(BC38="","",IF(BC38="NE","",(IFERROR(IF(ISNUMBER(BC38),BC38,VALUE(BC38)),0)/2)*$F38*$F$35*20))</f>
        <v/>
      </c>
      <c r="BE38" s="25">
        <f>IF(BC38="","◄",IF(BC38="NE","~",""))</f>
        <v/>
      </c>
      <c r="BF38" s="23" t="n"/>
      <c r="BG38" s="24">
        <f>IF(BF38="","",IF(BF38="NE","",(IFERROR(IF(ISNUMBER(BF38),BF38,VALUE(BF38)),0)/2)*$F38*$F$35*20))</f>
        <v/>
      </c>
      <c r="BH38" s="25">
        <f>IF(BF38="","◄",IF(BF38="NE","~",""))</f>
        <v/>
      </c>
      <c r="BI38" s="23" t="n"/>
      <c r="BJ38" s="24">
        <f>IF(BI38="","",IF(BI38="NE","",(IFERROR(IF(ISNUMBER(BI38),BI38,VALUE(BI38)),0)/2)*$F38*$F$35*20))</f>
        <v/>
      </c>
      <c r="BK38" s="25">
        <f>IF(BI38="","◄",IF(BI38="NE","~",""))</f>
        <v/>
      </c>
      <c r="BL38" s="23" t="n"/>
      <c r="BM38" s="24">
        <f>IF(BL38="","",IF(BL38="NE","",(IFERROR(IF(ISNUMBER(BL38),BL38,VALUE(BL38)),0)/2)*$F38*$F$35*20))</f>
        <v/>
      </c>
      <c r="BN38" s="25">
        <f>IF(BL38="","◄",IF(BL38="NE","~",""))</f>
        <v/>
      </c>
      <c r="BO38" s="23" t="n"/>
      <c r="BP38" s="24">
        <f>IF(BO38="","",IF(BO38="NE","",(IFERROR(IF(ISNUMBER(BO38),BO38,VALUE(BO38)),0)/2)*$F38*$F$35*20))</f>
        <v/>
      </c>
      <c r="BQ38" s="25">
        <f>IF(BO38="","◄",IF(BO38="NE","~",""))</f>
        <v/>
      </c>
      <c r="BR38" s="23" t="n"/>
      <c r="BS38" s="24">
        <f>IF(BR38="","",IF(BR38="NE","",(IFERROR(IF(ISNUMBER(BR38),BR38,VALUE(BR38)),0)/2)*$F38*$F$35*20))</f>
        <v/>
      </c>
      <c r="BT38" s="25">
        <f>IF(BR38="","◄",IF(BR38="NE","~",""))</f>
        <v/>
      </c>
      <c r="BU38" s="23" t="n"/>
      <c r="BV38" s="24">
        <f>IF(BU38="","",IF(BU38="NE","",(IFERROR(IF(ISNUMBER(BU38),BU38,VALUE(BU38)),0)/2)*$F38*$F$35*20))</f>
        <v/>
      </c>
      <c r="BW38" s="25">
        <f>IF(BU38="","◄",IF(BU38="NE","~",""))</f>
        <v/>
      </c>
      <c r="BX38" s="23" t="n"/>
      <c r="BY38" s="24">
        <f>IF(BX38="","",IF(BX38="NE","",(IFERROR(IF(ISNUMBER(BX38),BX38,VALUE(BX38)),0)/2)*$F38*$F$35*20))</f>
        <v/>
      </c>
      <c r="BZ38" s="25">
        <f>IF(BX38="","◄",IF(BX38="NE","~",""))</f>
        <v/>
      </c>
      <c r="CA38" s="23" t="n"/>
      <c r="CB38" s="24">
        <f>IF(CA38="","",IF(CA38="NE","",(IFERROR(IF(ISNUMBER(CA38),CA38,VALUE(CA38)),0)/2)*$F38*$F$35*20))</f>
        <v/>
      </c>
      <c r="CC38" s="25">
        <f>IF(CA38="","◄",IF(CA38="NE","~",""))</f>
        <v/>
      </c>
      <c r="CD38" s="23" t="n"/>
      <c r="CE38" s="24">
        <f>IF(CD38="","",IF(CD38="NE","",(IFERROR(IF(ISNUMBER(CD38),CD38,VALUE(CD38)),0)/2)*$F38*$F$35*20))</f>
        <v/>
      </c>
      <c r="CF38" s="25">
        <f>IF(CD38="","◄",IF(CD38="NE","~",""))</f>
        <v/>
      </c>
      <c r="CG38" s="23" t="n"/>
      <c r="CH38" s="24">
        <f>IF(CG38="","",IF(CG38="NE","",(IFERROR(IF(ISNUMBER(CG38),CG38,VALUE(CG38)),0)/2)*$F38*$F$35*20))</f>
        <v/>
      </c>
      <c r="CI38" s="25">
        <f>IF(CG38="","◄",IF(CG38="NE","~",""))</f>
        <v/>
      </c>
      <c r="CJ38" s="23" t="n"/>
      <c r="CK38" s="24">
        <f>IF(CJ38="","",IF(CJ38="NE","",(IFERROR(IF(ISNUMBER(CJ38),CJ38,VALUE(CJ38)),0)/2)*$F38*$F$35*20))</f>
        <v/>
      </c>
      <c r="CL38" s="25">
        <f>IF(CJ38="","◄",IF(CJ38="NE","~",""))</f>
        <v/>
      </c>
      <c r="CM38" s="23" t="n"/>
      <c r="CN38" s="24">
        <f>IF(CM38="","",IF(CM38="NE","",(IFERROR(IF(ISNUMBER(CM38),CM38,VALUE(CM38)),0)/2)*$F38*$F$35*20))</f>
        <v/>
      </c>
      <c r="CO38" s="25">
        <f>IF(CM38="","◄",IF(CM38="NE","~",""))</f>
        <v/>
      </c>
      <c r="CP38" s="23" t="n"/>
      <c r="CQ38" s="24">
        <f>IF(CP38="","",IF(CP38="NE","",(IFERROR(IF(ISNUMBER(CP38),CP38,VALUE(CP38)),0)/2)*$F38*$F$35*20))</f>
        <v/>
      </c>
      <c r="CR38" s="25">
        <f>IF(CP38="","◄",IF(CP38="NE","~",""))</f>
        <v/>
      </c>
    </row>
    <row r="39" ht="36" customHeight="1">
      <c r="A39" s="20" t="n">
        <v>30</v>
      </c>
      <c r="B39" s="20" t="inlineStr">
        <is>
          <t>P5</t>
        </is>
      </c>
      <c r="C39" s="20" t="inlineStr">
        <is>
          <t>Q5.3</t>
        </is>
      </c>
      <c r="D39" s="20" t="inlineStr">
        <is>
          <t>Critère</t>
        </is>
      </c>
      <c r="E39" s="21" t="inlineStr">
        <is>
          <t>Surface dalle = 4 × 2,5 = 10 m².</t>
        </is>
      </c>
      <c r="F39" s="22" t="n">
        <v>0.05</v>
      </c>
      <c r="G39" s="23" t="n"/>
      <c r="H39" s="24">
        <f>IF(G39="","",IF(G39="NE","",(IFERROR(IF(ISNUMBER(G39),G39,VALUE(G39)),0)/2)*$F39*$F$35*20))</f>
        <v/>
      </c>
      <c r="I39" s="25">
        <f>IF(G39="","◄",IF(G39="NE","~",""))</f>
        <v/>
      </c>
      <c r="J39" s="23" t="n"/>
      <c r="K39" s="24">
        <f>IF(J39="","",IF(J39="NE","",(IFERROR(IF(ISNUMBER(J39),J39,VALUE(J39)),0)/2)*$F39*$F$35*20))</f>
        <v/>
      </c>
      <c r="L39" s="25">
        <f>IF(J39="","◄",IF(J39="NE","~",""))</f>
        <v/>
      </c>
      <c r="M39" s="23" t="n"/>
      <c r="N39" s="24">
        <f>IF(M39="","",IF(M39="NE","",(IFERROR(IF(ISNUMBER(M39),M39,VALUE(M39)),0)/2)*$F39*$F$35*20))</f>
        <v/>
      </c>
      <c r="O39" s="25">
        <f>IF(M39="","◄",IF(M39="NE","~",""))</f>
        <v/>
      </c>
      <c r="P39" s="23" t="n"/>
      <c r="Q39" s="24">
        <f>IF(P39="","",IF(P39="NE","",(IFERROR(IF(ISNUMBER(P39),P39,VALUE(P39)),0)/2)*$F39*$F$35*20))</f>
        <v/>
      </c>
      <c r="R39" s="25">
        <f>IF(P39="","◄",IF(P39="NE","~",""))</f>
        <v/>
      </c>
      <c r="S39" s="23" t="n"/>
      <c r="T39" s="24">
        <f>IF(S39="","",IF(S39="NE","",(IFERROR(IF(ISNUMBER(S39),S39,VALUE(S39)),0)/2)*$F39*$F$35*20))</f>
        <v/>
      </c>
      <c r="U39" s="25">
        <f>IF(S39="","◄",IF(S39="NE","~",""))</f>
        <v/>
      </c>
      <c r="V39" s="23" t="n"/>
      <c r="W39" s="24">
        <f>IF(V39="","",IF(V39="NE","",(IFERROR(IF(ISNUMBER(V39),V39,VALUE(V39)),0)/2)*$F39*$F$35*20))</f>
        <v/>
      </c>
      <c r="X39" s="25">
        <f>IF(V39="","◄",IF(V39="NE","~",""))</f>
        <v/>
      </c>
      <c r="Y39" s="23" t="n"/>
      <c r="Z39" s="24">
        <f>IF(Y39="","",IF(Y39="NE","",(IFERROR(IF(ISNUMBER(Y39),Y39,VALUE(Y39)),0)/2)*$F39*$F$35*20))</f>
        <v/>
      </c>
      <c r="AA39" s="25">
        <f>IF(Y39="","◄",IF(Y39="NE","~",""))</f>
        <v/>
      </c>
      <c r="AB39" s="23" t="n"/>
      <c r="AC39" s="24">
        <f>IF(AB39="","",IF(AB39="NE","",(IFERROR(IF(ISNUMBER(AB39),AB39,VALUE(AB39)),0)/2)*$F39*$F$35*20))</f>
        <v/>
      </c>
      <c r="AD39" s="25">
        <f>IF(AB39="","◄",IF(AB39="NE","~",""))</f>
        <v/>
      </c>
      <c r="AE39" s="23" t="n"/>
      <c r="AF39" s="24">
        <f>IF(AE39="","",IF(AE39="NE","",(IFERROR(IF(ISNUMBER(AE39),AE39,VALUE(AE39)),0)/2)*$F39*$F$35*20))</f>
        <v/>
      </c>
      <c r="AG39" s="25">
        <f>IF(AE39="","◄",IF(AE39="NE","~",""))</f>
        <v/>
      </c>
      <c r="AH39" s="23" t="n"/>
      <c r="AI39" s="24">
        <f>IF(AH39="","",IF(AH39="NE","",(IFERROR(IF(ISNUMBER(AH39),AH39,VALUE(AH39)),0)/2)*$F39*$F$35*20))</f>
        <v/>
      </c>
      <c r="AJ39" s="25">
        <f>IF(AH39="","◄",IF(AH39="NE","~",""))</f>
        <v/>
      </c>
      <c r="AK39" s="23" t="n"/>
      <c r="AL39" s="24">
        <f>IF(AK39="","",IF(AK39="NE","",(IFERROR(IF(ISNUMBER(AK39),AK39,VALUE(AK39)),0)/2)*$F39*$F$35*20))</f>
        <v/>
      </c>
      <c r="AM39" s="25">
        <f>IF(AK39="","◄",IF(AK39="NE","~",""))</f>
        <v/>
      </c>
      <c r="AN39" s="23" t="n"/>
      <c r="AO39" s="24">
        <f>IF(AN39="","",IF(AN39="NE","",(IFERROR(IF(ISNUMBER(AN39),AN39,VALUE(AN39)),0)/2)*$F39*$F$35*20))</f>
        <v/>
      </c>
      <c r="AP39" s="25">
        <f>IF(AN39="","◄",IF(AN39="NE","~",""))</f>
        <v/>
      </c>
      <c r="AQ39" s="23" t="n"/>
      <c r="AR39" s="24">
        <f>IF(AQ39="","",IF(AQ39="NE","",(IFERROR(IF(ISNUMBER(AQ39),AQ39,VALUE(AQ39)),0)/2)*$F39*$F$35*20))</f>
        <v/>
      </c>
      <c r="AS39" s="25">
        <f>IF(AQ39="","◄",IF(AQ39="NE","~",""))</f>
        <v/>
      </c>
      <c r="AT39" s="23" t="n"/>
      <c r="AU39" s="24">
        <f>IF(AT39="","",IF(AT39="NE","",(IFERROR(IF(ISNUMBER(AT39),AT39,VALUE(AT39)),0)/2)*$F39*$F$35*20))</f>
        <v/>
      </c>
      <c r="AV39" s="25">
        <f>IF(AT39="","◄",IF(AT39="NE","~",""))</f>
        <v/>
      </c>
      <c r="AW39" s="23" t="n"/>
      <c r="AX39" s="24">
        <f>IF(AW39="","",IF(AW39="NE","",(IFERROR(IF(ISNUMBER(AW39),AW39,VALUE(AW39)),0)/2)*$F39*$F$35*20))</f>
        <v/>
      </c>
      <c r="AY39" s="25">
        <f>IF(AW39="","◄",IF(AW39="NE","~",""))</f>
        <v/>
      </c>
      <c r="AZ39" s="23" t="n"/>
      <c r="BA39" s="24">
        <f>IF(AZ39="","",IF(AZ39="NE","",(IFERROR(IF(ISNUMBER(AZ39),AZ39,VALUE(AZ39)),0)/2)*$F39*$F$35*20))</f>
        <v/>
      </c>
      <c r="BB39" s="25">
        <f>IF(AZ39="","◄",IF(AZ39="NE","~",""))</f>
        <v/>
      </c>
      <c r="BC39" s="23" t="n"/>
      <c r="BD39" s="24">
        <f>IF(BC39="","",IF(BC39="NE","",(IFERROR(IF(ISNUMBER(BC39),BC39,VALUE(BC39)),0)/2)*$F39*$F$35*20))</f>
        <v/>
      </c>
      <c r="BE39" s="25">
        <f>IF(BC39="","◄",IF(BC39="NE","~",""))</f>
        <v/>
      </c>
      <c r="BF39" s="23" t="n"/>
      <c r="BG39" s="24">
        <f>IF(BF39="","",IF(BF39="NE","",(IFERROR(IF(ISNUMBER(BF39),BF39,VALUE(BF39)),0)/2)*$F39*$F$35*20))</f>
        <v/>
      </c>
      <c r="BH39" s="25">
        <f>IF(BF39="","◄",IF(BF39="NE","~",""))</f>
        <v/>
      </c>
      <c r="BI39" s="23" t="n"/>
      <c r="BJ39" s="24">
        <f>IF(BI39="","",IF(BI39="NE","",(IFERROR(IF(ISNUMBER(BI39),BI39,VALUE(BI39)),0)/2)*$F39*$F$35*20))</f>
        <v/>
      </c>
      <c r="BK39" s="25">
        <f>IF(BI39="","◄",IF(BI39="NE","~",""))</f>
        <v/>
      </c>
      <c r="BL39" s="23" t="n"/>
      <c r="BM39" s="24">
        <f>IF(BL39="","",IF(BL39="NE","",(IFERROR(IF(ISNUMBER(BL39),BL39,VALUE(BL39)),0)/2)*$F39*$F$35*20))</f>
        <v/>
      </c>
      <c r="BN39" s="25">
        <f>IF(BL39="","◄",IF(BL39="NE","~",""))</f>
        <v/>
      </c>
      <c r="BO39" s="23" t="n"/>
      <c r="BP39" s="24">
        <f>IF(BO39="","",IF(BO39="NE","",(IFERROR(IF(ISNUMBER(BO39),BO39,VALUE(BO39)),0)/2)*$F39*$F$35*20))</f>
        <v/>
      </c>
      <c r="BQ39" s="25">
        <f>IF(BO39="","◄",IF(BO39="NE","~",""))</f>
        <v/>
      </c>
      <c r="BR39" s="23" t="n"/>
      <c r="BS39" s="24">
        <f>IF(BR39="","",IF(BR39="NE","",(IFERROR(IF(ISNUMBER(BR39),BR39,VALUE(BR39)),0)/2)*$F39*$F$35*20))</f>
        <v/>
      </c>
      <c r="BT39" s="25">
        <f>IF(BR39="","◄",IF(BR39="NE","~",""))</f>
        <v/>
      </c>
      <c r="BU39" s="23" t="n"/>
      <c r="BV39" s="24">
        <f>IF(BU39="","",IF(BU39="NE","",(IFERROR(IF(ISNUMBER(BU39),BU39,VALUE(BU39)),0)/2)*$F39*$F$35*20))</f>
        <v/>
      </c>
      <c r="BW39" s="25">
        <f>IF(BU39="","◄",IF(BU39="NE","~",""))</f>
        <v/>
      </c>
      <c r="BX39" s="23" t="n"/>
      <c r="BY39" s="24">
        <f>IF(BX39="","",IF(BX39="NE","",(IFERROR(IF(ISNUMBER(BX39),BX39,VALUE(BX39)),0)/2)*$F39*$F$35*20))</f>
        <v/>
      </c>
      <c r="BZ39" s="25">
        <f>IF(BX39="","◄",IF(BX39="NE","~",""))</f>
        <v/>
      </c>
      <c r="CA39" s="23" t="n"/>
      <c r="CB39" s="24">
        <f>IF(CA39="","",IF(CA39="NE","",(IFERROR(IF(ISNUMBER(CA39),CA39,VALUE(CA39)),0)/2)*$F39*$F$35*20))</f>
        <v/>
      </c>
      <c r="CC39" s="25">
        <f>IF(CA39="","◄",IF(CA39="NE","~",""))</f>
        <v/>
      </c>
      <c r="CD39" s="23" t="n"/>
      <c r="CE39" s="24">
        <f>IF(CD39="","",IF(CD39="NE","",(IFERROR(IF(ISNUMBER(CD39),CD39,VALUE(CD39)),0)/2)*$F39*$F$35*20))</f>
        <v/>
      </c>
      <c r="CF39" s="25">
        <f>IF(CD39="","◄",IF(CD39="NE","~",""))</f>
        <v/>
      </c>
      <c r="CG39" s="23" t="n"/>
      <c r="CH39" s="24">
        <f>IF(CG39="","",IF(CG39="NE","",(IFERROR(IF(ISNUMBER(CG39),CG39,VALUE(CG39)),0)/2)*$F39*$F$35*20))</f>
        <v/>
      </c>
      <c r="CI39" s="25">
        <f>IF(CG39="","◄",IF(CG39="NE","~",""))</f>
        <v/>
      </c>
      <c r="CJ39" s="23" t="n"/>
      <c r="CK39" s="24">
        <f>IF(CJ39="","",IF(CJ39="NE","",(IFERROR(IF(ISNUMBER(CJ39),CJ39,VALUE(CJ39)),0)/2)*$F39*$F$35*20))</f>
        <v/>
      </c>
      <c r="CL39" s="25">
        <f>IF(CJ39="","◄",IF(CJ39="NE","~",""))</f>
        <v/>
      </c>
      <c r="CM39" s="23" t="n"/>
      <c r="CN39" s="24">
        <f>IF(CM39="","",IF(CM39="NE","",(IFERROR(IF(ISNUMBER(CM39),CM39,VALUE(CM39)),0)/2)*$F39*$F$35*20))</f>
        <v/>
      </c>
      <c r="CO39" s="25">
        <f>IF(CM39="","◄",IF(CM39="NE","~",""))</f>
        <v/>
      </c>
      <c r="CP39" s="23" t="n"/>
      <c r="CQ39" s="24">
        <f>IF(CP39="","",IF(CP39="NE","",(IFERROR(IF(ISNUMBER(CP39),CP39,VALUE(CP39)),0)/2)*$F39*$F$35*20))</f>
        <v/>
      </c>
      <c r="CR39" s="25">
        <f>IF(CP39="","◄",IF(CP39="NE","~",""))</f>
        <v/>
      </c>
    </row>
    <row r="40" ht="36" customHeight="1">
      <c r="A40" s="20" t="n">
        <v>31</v>
      </c>
      <c r="B40" s="20" t="inlineStr">
        <is>
          <t>P5</t>
        </is>
      </c>
      <c r="C40" s="20" t="inlineStr">
        <is>
          <t>Q5.3</t>
        </is>
      </c>
      <c r="D40" s="20" t="inlineStr">
        <is>
          <t>Critère</t>
        </is>
      </c>
      <c r="E40" s="21" t="inlineStr">
        <is>
          <t>σ_sol = 200 000 / 10 = 20 000 Pa = 0,02 MPa.</t>
        </is>
      </c>
      <c r="F40" s="22" t="n">
        <v>0.05</v>
      </c>
      <c r="G40" s="23" t="n"/>
      <c r="H40" s="24">
        <f>IF(G40="","",IF(G40="NE","",(IFERROR(IF(ISNUMBER(G40),G40,VALUE(G40)),0)/2)*$F40*$F$35*20))</f>
        <v/>
      </c>
      <c r="I40" s="25">
        <f>IF(G40="","◄",IF(G40="NE","~",""))</f>
        <v/>
      </c>
      <c r="J40" s="23" t="n"/>
      <c r="K40" s="24">
        <f>IF(J40="","",IF(J40="NE","",(IFERROR(IF(ISNUMBER(J40),J40,VALUE(J40)),0)/2)*$F40*$F$35*20))</f>
        <v/>
      </c>
      <c r="L40" s="25">
        <f>IF(J40="","◄",IF(J40="NE","~",""))</f>
        <v/>
      </c>
      <c r="M40" s="23" t="n"/>
      <c r="N40" s="24">
        <f>IF(M40="","",IF(M40="NE","",(IFERROR(IF(ISNUMBER(M40),M40,VALUE(M40)),0)/2)*$F40*$F$35*20))</f>
        <v/>
      </c>
      <c r="O40" s="25">
        <f>IF(M40="","◄",IF(M40="NE","~",""))</f>
        <v/>
      </c>
      <c r="P40" s="23" t="n"/>
      <c r="Q40" s="24">
        <f>IF(P40="","",IF(P40="NE","",(IFERROR(IF(ISNUMBER(P40),P40,VALUE(P40)),0)/2)*$F40*$F$35*20))</f>
        <v/>
      </c>
      <c r="R40" s="25">
        <f>IF(P40="","◄",IF(P40="NE","~",""))</f>
        <v/>
      </c>
      <c r="S40" s="23" t="n"/>
      <c r="T40" s="24">
        <f>IF(S40="","",IF(S40="NE","",(IFERROR(IF(ISNUMBER(S40),S40,VALUE(S40)),0)/2)*$F40*$F$35*20))</f>
        <v/>
      </c>
      <c r="U40" s="25">
        <f>IF(S40="","◄",IF(S40="NE","~",""))</f>
        <v/>
      </c>
      <c r="V40" s="23" t="n"/>
      <c r="W40" s="24">
        <f>IF(V40="","",IF(V40="NE","",(IFERROR(IF(ISNUMBER(V40),V40,VALUE(V40)),0)/2)*$F40*$F$35*20))</f>
        <v/>
      </c>
      <c r="X40" s="25">
        <f>IF(V40="","◄",IF(V40="NE","~",""))</f>
        <v/>
      </c>
      <c r="Y40" s="23" t="n"/>
      <c r="Z40" s="24">
        <f>IF(Y40="","",IF(Y40="NE","",(IFERROR(IF(ISNUMBER(Y40),Y40,VALUE(Y40)),0)/2)*$F40*$F$35*20))</f>
        <v/>
      </c>
      <c r="AA40" s="25">
        <f>IF(Y40="","◄",IF(Y40="NE","~",""))</f>
        <v/>
      </c>
      <c r="AB40" s="23" t="n"/>
      <c r="AC40" s="24">
        <f>IF(AB40="","",IF(AB40="NE","",(IFERROR(IF(ISNUMBER(AB40),AB40,VALUE(AB40)),0)/2)*$F40*$F$35*20))</f>
        <v/>
      </c>
      <c r="AD40" s="25">
        <f>IF(AB40="","◄",IF(AB40="NE","~",""))</f>
        <v/>
      </c>
      <c r="AE40" s="23" t="n"/>
      <c r="AF40" s="24">
        <f>IF(AE40="","",IF(AE40="NE","",(IFERROR(IF(ISNUMBER(AE40),AE40,VALUE(AE40)),0)/2)*$F40*$F$35*20))</f>
        <v/>
      </c>
      <c r="AG40" s="25">
        <f>IF(AE40="","◄",IF(AE40="NE","~",""))</f>
        <v/>
      </c>
      <c r="AH40" s="23" t="n"/>
      <c r="AI40" s="24">
        <f>IF(AH40="","",IF(AH40="NE","",(IFERROR(IF(ISNUMBER(AH40),AH40,VALUE(AH40)),0)/2)*$F40*$F$35*20))</f>
        <v/>
      </c>
      <c r="AJ40" s="25">
        <f>IF(AH40="","◄",IF(AH40="NE","~",""))</f>
        <v/>
      </c>
      <c r="AK40" s="23" t="n"/>
      <c r="AL40" s="24">
        <f>IF(AK40="","",IF(AK40="NE","",(IFERROR(IF(ISNUMBER(AK40),AK40,VALUE(AK40)),0)/2)*$F40*$F$35*20))</f>
        <v/>
      </c>
      <c r="AM40" s="25">
        <f>IF(AK40="","◄",IF(AK40="NE","~",""))</f>
        <v/>
      </c>
      <c r="AN40" s="23" t="n"/>
      <c r="AO40" s="24">
        <f>IF(AN40="","",IF(AN40="NE","",(IFERROR(IF(ISNUMBER(AN40),AN40,VALUE(AN40)),0)/2)*$F40*$F$35*20))</f>
        <v/>
      </c>
      <c r="AP40" s="25">
        <f>IF(AN40="","◄",IF(AN40="NE","~",""))</f>
        <v/>
      </c>
      <c r="AQ40" s="23" t="n"/>
      <c r="AR40" s="24">
        <f>IF(AQ40="","",IF(AQ40="NE","",(IFERROR(IF(ISNUMBER(AQ40),AQ40,VALUE(AQ40)),0)/2)*$F40*$F$35*20))</f>
        <v/>
      </c>
      <c r="AS40" s="25">
        <f>IF(AQ40="","◄",IF(AQ40="NE","~",""))</f>
        <v/>
      </c>
      <c r="AT40" s="23" t="n"/>
      <c r="AU40" s="24">
        <f>IF(AT40="","",IF(AT40="NE","",(IFERROR(IF(ISNUMBER(AT40),AT40,VALUE(AT40)),0)/2)*$F40*$F$35*20))</f>
        <v/>
      </c>
      <c r="AV40" s="25">
        <f>IF(AT40="","◄",IF(AT40="NE","~",""))</f>
        <v/>
      </c>
      <c r="AW40" s="23" t="n"/>
      <c r="AX40" s="24">
        <f>IF(AW40="","",IF(AW40="NE","",(IFERROR(IF(ISNUMBER(AW40),AW40,VALUE(AW40)),0)/2)*$F40*$F$35*20))</f>
        <v/>
      </c>
      <c r="AY40" s="25">
        <f>IF(AW40="","◄",IF(AW40="NE","~",""))</f>
        <v/>
      </c>
      <c r="AZ40" s="23" t="n"/>
      <c r="BA40" s="24">
        <f>IF(AZ40="","",IF(AZ40="NE","",(IFERROR(IF(ISNUMBER(AZ40),AZ40,VALUE(AZ40)),0)/2)*$F40*$F$35*20))</f>
        <v/>
      </c>
      <c r="BB40" s="25">
        <f>IF(AZ40="","◄",IF(AZ40="NE","~",""))</f>
        <v/>
      </c>
      <c r="BC40" s="23" t="n"/>
      <c r="BD40" s="24">
        <f>IF(BC40="","",IF(BC40="NE","",(IFERROR(IF(ISNUMBER(BC40),BC40,VALUE(BC40)),0)/2)*$F40*$F$35*20))</f>
        <v/>
      </c>
      <c r="BE40" s="25">
        <f>IF(BC40="","◄",IF(BC40="NE","~",""))</f>
        <v/>
      </c>
      <c r="BF40" s="23" t="n"/>
      <c r="BG40" s="24">
        <f>IF(BF40="","",IF(BF40="NE","",(IFERROR(IF(ISNUMBER(BF40),BF40,VALUE(BF40)),0)/2)*$F40*$F$35*20))</f>
        <v/>
      </c>
      <c r="BH40" s="25">
        <f>IF(BF40="","◄",IF(BF40="NE","~",""))</f>
        <v/>
      </c>
      <c r="BI40" s="23" t="n"/>
      <c r="BJ40" s="24">
        <f>IF(BI40="","",IF(BI40="NE","",(IFERROR(IF(ISNUMBER(BI40),BI40,VALUE(BI40)),0)/2)*$F40*$F$35*20))</f>
        <v/>
      </c>
      <c r="BK40" s="25">
        <f>IF(BI40="","◄",IF(BI40="NE","~",""))</f>
        <v/>
      </c>
      <c r="BL40" s="23" t="n"/>
      <c r="BM40" s="24">
        <f>IF(BL40="","",IF(BL40="NE","",(IFERROR(IF(ISNUMBER(BL40),BL40,VALUE(BL40)),0)/2)*$F40*$F$35*20))</f>
        <v/>
      </c>
      <c r="BN40" s="25">
        <f>IF(BL40="","◄",IF(BL40="NE","~",""))</f>
        <v/>
      </c>
      <c r="BO40" s="23" t="n"/>
      <c r="BP40" s="24">
        <f>IF(BO40="","",IF(BO40="NE","",(IFERROR(IF(ISNUMBER(BO40),BO40,VALUE(BO40)),0)/2)*$F40*$F$35*20))</f>
        <v/>
      </c>
      <c r="BQ40" s="25">
        <f>IF(BO40="","◄",IF(BO40="NE","~",""))</f>
        <v/>
      </c>
      <c r="BR40" s="23" t="n"/>
      <c r="BS40" s="24">
        <f>IF(BR40="","",IF(BR40="NE","",(IFERROR(IF(ISNUMBER(BR40),BR40,VALUE(BR40)),0)/2)*$F40*$F$35*20))</f>
        <v/>
      </c>
      <c r="BT40" s="25">
        <f>IF(BR40="","◄",IF(BR40="NE","~",""))</f>
        <v/>
      </c>
      <c r="BU40" s="23" t="n"/>
      <c r="BV40" s="24">
        <f>IF(BU40="","",IF(BU40="NE","",(IFERROR(IF(ISNUMBER(BU40),BU40,VALUE(BU40)),0)/2)*$F40*$F$35*20))</f>
        <v/>
      </c>
      <c r="BW40" s="25">
        <f>IF(BU40="","◄",IF(BU40="NE","~",""))</f>
        <v/>
      </c>
      <c r="BX40" s="23" t="n"/>
      <c r="BY40" s="24">
        <f>IF(BX40="","",IF(BX40="NE","",(IFERROR(IF(ISNUMBER(BX40),BX40,VALUE(BX40)),0)/2)*$F40*$F$35*20))</f>
        <v/>
      </c>
      <c r="BZ40" s="25">
        <f>IF(BX40="","◄",IF(BX40="NE","~",""))</f>
        <v/>
      </c>
      <c r="CA40" s="23" t="n"/>
      <c r="CB40" s="24">
        <f>IF(CA40="","",IF(CA40="NE","",(IFERROR(IF(ISNUMBER(CA40),CA40,VALUE(CA40)),0)/2)*$F40*$F$35*20))</f>
        <v/>
      </c>
      <c r="CC40" s="25">
        <f>IF(CA40="","◄",IF(CA40="NE","~",""))</f>
        <v/>
      </c>
      <c r="CD40" s="23" t="n"/>
      <c r="CE40" s="24">
        <f>IF(CD40="","",IF(CD40="NE","",(IFERROR(IF(ISNUMBER(CD40),CD40,VALUE(CD40)),0)/2)*$F40*$F$35*20))</f>
        <v/>
      </c>
      <c r="CF40" s="25">
        <f>IF(CD40="","◄",IF(CD40="NE","~",""))</f>
        <v/>
      </c>
      <c r="CG40" s="23" t="n"/>
      <c r="CH40" s="24">
        <f>IF(CG40="","",IF(CG40="NE","",(IFERROR(IF(ISNUMBER(CG40),CG40,VALUE(CG40)),0)/2)*$F40*$F$35*20))</f>
        <v/>
      </c>
      <c r="CI40" s="25">
        <f>IF(CG40="","◄",IF(CG40="NE","~",""))</f>
        <v/>
      </c>
      <c r="CJ40" s="23" t="n"/>
      <c r="CK40" s="24">
        <f>IF(CJ40="","",IF(CJ40="NE","",(IFERROR(IF(ISNUMBER(CJ40),CJ40,VALUE(CJ40)),0)/2)*$F40*$F$35*20))</f>
        <v/>
      </c>
      <c r="CL40" s="25">
        <f>IF(CJ40="","◄",IF(CJ40="NE","~",""))</f>
        <v/>
      </c>
      <c r="CM40" s="23" t="n"/>
      <c r="CN40" s="24">
        <f>IF(CM40="","",IF(CM40="NE","",(IFERROR(IF(ISNUMBER(CM40),CM40,VALUE(CM40)),0)/2)*$F40*$F$35*20))</f>
        <v/>
      </c>
      <c r="CO40" s="25">
        <f>IF(CM40="","◄",IF(CM40="NE","~",""))</f>
        <v/>
      </c>
      <c r="CP40" s="23" t="n"/>
      <c r="CQ40" s="24">
        <f>IF(CP40="","",IF(CP40="NE","",(IFERROR(IF(ISNUMBER(CP40),CP40,VALUE(CP40)),0)/2)*$F40*$F$35*20))</f>
        <v/>
      </c>
      <c r="CR40" s="25">
        <f>IF(CP40="","◄",IF(CP40="NE","~",""))</f>
        <v/>
      </c>
    </row>
    <row r="41" ht="36" customHeight="1">
      <c r="A41" s="20" t="n">
        <v>32</v>
      </c>
      <c r="B41" s="20" t="inlineStr">
        <is>
          <t>P5</t>
        </is>
      </c>
      <c r="C41" s="20" t="inlineStr">
        <is>
          <t>Q5.3</t>
        </is>
      </c>
      <c r="D41" s="20" t="inlineStr">
        <is>
          <t>Critère</t>
        </is>
      </c>
      <c r="E41" s="21" t="inlineStr">
        <is>
          <t>Conclusion : σ_sol (0,02 MPa) &lt; résistance admissible (0,1 MPa) → le sol supporte la charge.</t>
        </is>
      </c>
      <c r="F41" s="22" t="n">
        <v>0.05</v>
      </c>
      <c r="G41" s="23" t="n"/>
      <c r="H41" s="24">
        <f>IF(G41="","",IF(G41="NE","",(IFERROR(IF(ISNUMBER(G41),G41,VALUE(G41)),0)/2)*$F41*$F$35*20))</f>
        <v/>
      </c>
      <c r="I41" s="25">
        <f>IF(G41="","◄",IF(G41="NE","~",""))</f>
        <v/>
      </c>
      <c r="J41" s="23" t="n"/>
      <c r="K41" s="24">
        <f>IF(J41="","",IF(J41="NE","",(IFERROR(IF(ISNUMBER(J41),J41,VALUE(J41)),0)/2)*$F41*$F$35*20))</f>
        <v/>
      </c>
      <c r="L41" s="25">
        <f>IF(J41="","◄",IF(J41="NE","~",""))</f>
        <v/>
      </c>
      <c r="M41" s="23" t="n"/>
      <c r="N41" s="24">
        <f>IF(M41="","",IF(M41="NE","",(IFERROR(IF(ISNUMBER(M41),M41,VALUE(M41)),0)/2)*$F41*$F$35*20))</f>
        <v/>
      </c>
      <c r="O41" s="25">
        <f>IF(M41="","◄",IF(M41="NE","~",""))</f>
        <v/>
      </c>
      <c r="P41" s="23" t="n"/>
      <c r="Q41" s="24">
        <f>IF(P41="","",IF(P41="NE","",(IFERROR(IF(ISNUMBER(P41),P41,VALUE(P41)),0)/2)*$F41*$F$35*20))</f>
        <v/>
      </c>
      <c r="R41" s="25">
        <f>IF(P41="","◄",IF(P41="NE","~",""))</f>
        <v/>
      </c>
      <c r="S41" s="23" t="n"/>
      <c r="T41" s="24">
        <f>IF(S41="","",IF(S41="NE","",(IFERROR(IF(ISNUMBER(S41),S41,VALUE(S41)),0)/2)*$F41*$F$35*20))</f>
        <v/>
      </c>
      <c r="U41" s="25">
        <f>IF(S41="","◄",IF(S41="NE","~",""))</f>
        <v/>
      </c>
      <c r="V41" s="23" t="n"/>
      <c r="W41" s="24">
        <f>IF(V41="","",IF(V41="NE","",(IFERROR(IF(ISNUMBER(V41),V41,VALUE(V41)),0)/2)*$F41*$F$35*20))</f>
        <v/>
      </c>
      <c r="X41" s="25">
        <f>IF(V41="","◄",IF(V41="NE","~",""))</f>
        <v/>
      </c>
      <c r="Y41" s="23" t="n"/>
      <c r="Z41" s="24">
        <f>IF(Y41="","",IF(Y41="NE","",(IFERROR(IF(ISNUMBER(Y41),Y41,VALUE(Y41)),0)/2)*$F41*$F$35*20))</f>
        <v/>
      </c>
      <c r="AA41" s="25">
        <f>IF(Y41="","◄",IF(Y41="NE","~",""))</f>
        <v/>
      </c>
      <c r="AB41" s="23" t="n"/>
      <c r="AC41" s="24">
        <f>IF(AB41="","",IF(AB41="NE","",(IFERROR(IF(ISNUMBER(AB41),AB41,VALUE(AB41)),0)/2)*$F41*$F$35*20))</f>
        <v/>
      </c>
      <c r="AD41" s="25">
        <f>IF(AB41="","◄",IF(AB41="NE","~",""))</f>
        <v/>
      </c>
      <c r="AE41" s="23" t="n"/>
      <c r="AF41" s="24">
        <f>IF(AE41="","",IF(AE41="NE","",(IFERROR(IF(ISNUMBER(AE41),AE41,VALUE(AE41)),0)/2)*$F41*$F$35*20))</f>
        <v/>
      </c>
      <c r="AG41" s="25">
        <f>IF(AE41="","◄",IF(AE41="NE","~",""))</f>
        <v/>
      </c>
      <c r="AH41" s="23" t="n"/>
      <c r="AI41" s="24">
        <f>IF(AH41="","",IF(AH41="NE","",(IFERROR(IF(ISNUMBER(AH41),AH41,VALUE(AH41)),0)/2)*$F41*$F$35*20))</f>
        <v/>
      </c>
      <c r="AJ41" s="25">
        <f>IF(AH41="","◄",IF(AH41="NE","~",""))</f>
        <v/>
      </c>
      <c r="AK41" s="23" t="n"/>
      <c r="AL41" s="24">
        <f>IF(AK41="","",IF(AK41="NE","",(IFERROR(IF(ISNUMBER(AK41),AK41,VALUE(AK41)),0)/2)*$F41*$F$35*20))</f>
        <v/>
      </c>
      <c r="AM41" s="25">
        <f>IF(AK41="","◄",IF(AK41="NE","~",""))</f>
        <v/>
      </c>
      <c r="AN41" s="23" t="n"/>
      <c r="AO41" s="24">
        <f>IF(AN41="","",IF(AN41="NE","",(IFERROR(IF(ISNUMBER(AN41),AN41,VALUE(AN41)),0)/2)*$F41*$F$35*20))</f>
        <v/>
      </c>
      <c r="AP41" s="25">
        <f>IF(AN41="","◄",IF(AN41="NE","~",""))</f>
        <v/>
      </c>
      <c r="AQ41" s="23" t="n"/>
      <c r="AR41" s="24">
        <f>IF(AQ41="","",IF(AQ41="NE","",(IFERROR(IF(ISNUMBER(AQ41),AQ41,VALUE(AQ41)),0)/2)*$F41*$F$35*20))</f>
        <v/>
      </c>
      <c r="AS41" s="25">
        <f>IF(AQ41="","◄",IF(AQ41="NE","~",""))</f>
        <v/>
      </c>
      <c r="AT41" s="23" t="n"/>
      <c r="AU41" s="24">
        <f>IF(AT41="","",IF(AT41="NE","",(IFERROR(IF(ISNUMBER(AT41),AT41,VALUE(AT41)),0)/2)*$F41*$F$35*20))</f>
        <v/>
      </c>
      <c r="AV41" s="25">
        <f>IF(AT41="","◄",IF(AT41="NE","~",""))</f>
        <v/>
      </c>
      <c r="AW41" s="23" t="n"/>
      <c r="AX41" s="24">
        <f>IF(AW41="","",IF(AW41="NE","",(IFERROR(IF(ISNUMBER(AW41),AW41,VALUE(AW41)),0)/2)*$F41*$F$35*20))</f>
        <v/>
      </c>
      <c r="AY41" s="25">
        <f>IF(AW41="","◄",IF(AW41="NE","~",""))</f>
        <v/>
      </c>
      <c r="AZ41" s="23" t="n"/>
      <c r="BA41" s="24">
        <f>IF(AZ41="","",IF(AZ41="NE","",(IFERROR(IF(ISNUMBER(AZ41),AZ41,VALUE(AZ41)),0)/2)*$F41*$F$35*20))</f>
        <v/>
      </c>
      <c r="BB41" s="25">
        <f>IF(AZ41="","◄",IF(AZ41="NE","~",""))</f>
        <v/>
      </c>
      <c r="BC41" s="23" t="n"/>
      <c r="BD41" s="24">
        <f>IF(BC41="","",IF(BC41="NE","",(IFERROR(IF(ISNUMBER(BC41),BC41,VALUE(BC41)),0)/2)*$F41*$F$35*20))</f>
        <v/>
      </c>
      <c r="BE41" s="25">
        <f>IF(BC41="","◄",IF(BC41="NE","~",""))</f>
        <v/>
      </c>
      <c r="BF41" s="23" t="n"/>
      <c r="BG41" s="24">
        <f>IF(BF41="","",IF(BF41="NE","",(IFERROR(IF(ISNUMBER(BF41),BF41,VALUE(BF41)),0)/2)*$F41*$F$35*20))</f>
        <v/>
      </c>
      <c r="BH41" s="25">
        <f>IF(BF41="","◄",IF(BF41="NE","~",""))</f>
        <v/>
      </c>
      <c r="BI41" s="23" t="n"/>
      <c r="BJ41" s="24">
        <f>IF(BI41="","",IF(BI41="NE","",(IFERROR(IF(ISNUMBER(BI41),BI41,VALUE(BI41)),0)/2)*$F41*$F$35*20))</f>
        <v/>
      </c>
      <c r="BK41" s="25">
        <f>IF(BI41="","◄",IF(BI41="NE","~",""))</f>
        <v/>
      </c>
      <c r="BL41" s="23" t="n"/>
      <c r="BM41" s="24">
        <f>IF(BL41="","",IF(BL41="NE","",(IFERROR(IF(ISNUMBER(BL41),BL41,VALUE(BL41)),0)/2)*$F41*$F$35*20))</f>
        <v/>
      </c>
      <c r="BN41" s="25">
        <f>IF(BL41="","◄",IF(BL41="NE","~",""))</f>
        <v/>
      </c>
      <c r="BO41" s="23" t="n"/>
      <c r="BP41" s="24">
        <f>IF(BO41="","",IF(BO41="NE","",(IFERROR(IF(ISNUMBER(BO41),BO41,VALUE(BO41)),0)/2)*$F41*$F$35*20))</f>
        <v/>
      </c>
      <c r="BQ41" s="25">
        <f>IF(BO41="","◄",IF(BO41="NE","~",""))</f>
        <v/>
      </c>
      <c r="BR41" s="23" t="n"/>
      <c r="BS41" s="24">
        <f>IF(BR41="","",IF(BR41="NE","",(IFERROR(IF(ISNUMBER(BR41),BR41,VALUE(BR41)),0)/2)*$F41*$F$35*20))</f>
        <v/>
      </c>
      <c r="BT41" s="25">
        <f>IF(BR41="","◄",IF(BR41="NE","~",""))</f>
        <v/>
      </c>
      <c r="BU41" s="23" t="n"/>
      <c r="BV41" s="24">
        <f>IF(BU41="","",IF(BU41="NE","",(IFERROR(IF(ISNUMBER(BU41),BU41,VALUE(BU41)),0)/2)*$F41*$F$35*20))</f>
        <v/>
      </c>
      <c r="BW41" s="25">
        <f>IF(BU41="","◄",IF(BU41="NE","~",""))</f>
        <v/>
      </c>
      <c r="BX41" s="23" t="n"/>
      <c r="BY41" s="24">
        <f>IF(BX41="","",IF(BX41="NE","",(IFERROR(IF(ISNUMBER(BX41),BX41,VALUE(BX41)),0)/2)*$F41*$F$35*20))</f>
        <v/>
      </c>
      <c r="BZ41" s="25">
        <f>IF(BX41="","◄",IF(BX41="NE","~",""))</f>
        <v/>
      </c>
      <c r="CA41" s="23" t="n"/>
      <c r="CB41" s="24">
        <f>IF(CA41="","",IF(CA41="NE","",(IFERROR(IF(ISNUMBER(CA41),CA41,VALUE(CA41)),0)/2)*$F41*$F$35*20))</f>
        <v/>
      </c>
      <c r="CC41" s="25">
        <f>IF(CA41="","◄",IF(CA41="NE","~",""))</f>
        <v/>
      </c>
      <c r="CD41" s="23" t="n"/>
      <c r="CE41" s="24">
        <f>IF(CD41="","",IF(CD41="NE","",(IFERROR(IF(ISNUMBER(CD41),CD41,VALUE(CD41)),0)/2)*$F41*$F$35*20))</f>
        <v/>
      </c>
      <c r="CF41" s="25">
        <f>IF(CD41="","◄",IF(CD41="NE","~",""))</f>
        <v/>
      </c>
      <c r="CG41" s="23" t="n"/>
      <c r="CH41" s="24">
        <f>IF(CG41="","",IF(CG41="NE","",(IFERROR(IF(ISNUMBER(CG41),CG41,VALUE(CG41)),0)/2)*$F41*$F$35*20))</f>
        <v/>
      </c>
      <c r="CI41" s="25">
        <f>IF(CG41="","◄",IF(CG41="NE","~",""))</f>
        <v/>
      </c>
      <c r="CJ41" s="23" t="n"/>
      <c r="CK41" s="24">
        <f>IF(CJ41="","",IF(CJ41="NE","",(IFERROR(IF(ISNUMBER(CJ41),CJ41,VALUE(CJ41)),0)/2)*$F41*$F$35*20))</f>
        <v/>
      </c>
      <c r="CL41" s="25">
        <f>IF(CJ41="","◄",IF(CJ41="NE","~",""))</f>
        <v/>
      </c>
      <c r="CM41" s="23" t="n"/>
      <c r="CN41" s="24">
        <f>IF(CM41="","",IF(CM41="NE","",(IFERROR(IF(ISNUMBER(CM41),CM41,VALUE(CM41)),0)/2)*$F41*$F$35*20))</f>
        <v/>
      </c>
      <c r="CO41" s="25">
        <f>IF(CM41="","◄",IF(CM41="NE","~",""))</f>
        <v/>
      </c>
      <c r="CP41" s="23" t="n"/>
      <c r="CQ41" s="24">
        <f>IF(CP41="","",IF(CP41="NE","",(IFERROR(IF(ISNUMBER(CP41),CP41,VALUE(CP41)),0)/2)*$F41*$F$35*20))</f>
        <v/>
      </c>
      <c r="CR41" s="25">
        <f>IF(CP41="","◄",IF(CP41="NE","~",""))</f>
        <v/>
      </c>
    </row>
    <row r="42" ht="36" customHeight="1">
      <c r="A42" s="20" t="n">
        <v>33</v>
      </c>
      <c r="B42" s="20" t="inlineStr">
        <is>
          <t>P5</t>
        </is>
      </c>
      <c r="C42" s="20" t="inlineStr">
        <is>
          <t>Q5.4</t>
        </is>
      </c>
      <c r="D42" s="20" t="inlineStr">
        <is>
          <t>Critère</t>
        </is>
      </c>
      <c r="E42" s="21" t="inlineStr">
        <is>
          <t>Brûler le méthane est écologiquement plus intéressant que le relâcher dans l'atmosphère.</t>
        </is>
      </c>
      <c r="F42" s="22" t="n">
        <v>0.1</v>
      </c>
      <c r="G42" s="23" t="n"/>
      <c r="H42" s="24">
        <f>IF(G42="","",IF(G42="NE","",(IFERROR(IF(ISNUMBER(G42),G42,VALUE(G42)),0)/2)*$F42*$F$35*20))</f>
        <v/>
      </c>
      <c r="I42" s="25">
        <f>IF(G42="","◄",IF(G42="NE","~",""))</f>
        <v/>
      </c>
      <c r="J42" s="23" t="n"/>
      <c r="K42" s="24">
        <f>IF(J42="","",IF(J42="NE","",(IFERROR(IF(ISNUMBER(J42),J42,VALUE(J42)),0)/2)*$F42*$F$35*20))</f>
        <v/>
      </c>
      <c r="L42" s="25">
        <f>IF(J42="","◄",IF(J42="NE","~",""))</f>
        <v/>
      </c>
      <c r="M42" s="23" t="n"/>
      <c r="N42" s="24">
        <f>IF(M42="","",IF(M42="NE","",(IFERROR(IF(ISNUMBER(M42),M42,VALUE(M42)),0)/2)*$F42*$F$35*20))</f>
        <v/>
      </c>
      <c r="O42" s="25">
        <f>IF(M42="","◄",IF(M42="NE","~",""))</f>
        <v/>
      </c>
      <c r="P42" s="23" t="n"/>
      <c r="Q42" s="24">
        <f>IF(P42="","",IF(P42="NE","",(IFERROR(IF(ISNUMBER(P42),P42,VALUE(P42)),0)/2)*$F42*$F$35*20))</f>
        <v/>
      </c>
      <c r="R42" s="25">
        <f>IF(P42="","◄",IF(P42="NE","~",""))</f>
        <v/>
      </c>
      <c r="S42" s="23" t="n"/>
      <c r="T42" s="24">
        <f>IF(S42="","",IF(S42="NE","",(IFERROR(IF(ISNUMBER(S42),S42,VALUE(S42)),0)/2)*$F42*$F$35*20))</f>
        <v/>
      </c>
      <c r="U42" s="25">
        <f>IF(S42="","◄",IF(S42="NE","~",""))</f>
        <v/>
      </c>
      <c r="V42" s="23" t="n"/>
      <c r="W42" s="24">
        <f>IF(V42="","",IF(V42="NE","",(IFERROR(IF(ISNUMBER(V42),V42,VALUE(V42)),0)/2)*$F42*$F$35*20))</f>
        <v/>
      </c>
      <c r="X42" s="25">
        <f>IF(V42="","◄",IF(V42="NE","~",""))</f>
        <v/>
      </c>
      <c r="Y42" s="23" t="n"/>
      <c r="Z42" s="24">
        <f>IF(Y42="","",IF(Y42="NE","",(IFERROR(IF(ISNUMBER(Y42),Y42,VALUE(Y42)),0)/2)*$F42*$F$35*20))</f>
        <v/>
      </c>
      <c r="AA42" s="25">
        <f>IF(Y42="","◄",IF(Y42="NE","~",""))</f>
        <v/>
      </c>
      <c r="AB42" s="23" t="n"/>
      <c r="AC42" s="24">
        <f>IF(AB42="","",IF(AB42="NE","",(IFERROR(IF(ISNUMBER(AB42),AB42,VALUE(AB42)),0)/2)*$F42*$F$35*20))</f>
        <v/>
      </c>
      <c r="AD42" s="25">
        <f>IF(AB42="","◄",IF(AB42="NE","~",""))</f>
        <v/>
      </c>
      <c r="AE42" s="23" t="n"/>
      <c r="AF42" s="24">
        <f>IF(AE42="","",IF(AE42="NE","",(IFERROR(IF(ISNUMBER(AE42),AE42,VALUE(AE42)),0)/2)*$F42*$F$35*20))</f>
        <v/>
      </c>
      <c r="AG42" s="25">
        <f>IF(AE42="","◄",IF(AE42="NE","~",""))</f>
        <v/>
      </c>
      <c r="AH42" s="23" t="n"/>
      <c r="AI42" s="24">
        <f>IF(AH42="","",IF(AH42="NE","",(IFERROR(IF(ISNUMBER(AH42),AH42,VALUE(AH42)),0)/2)*$F42*$F$35*20))</f>
        <v/>
      </c>
      <c r="AJ42" s="25">
        <f>IF(AH42="","◄",IF(AH42="NE","~",""))</f>
        <v/>
      </c>
      <c r="AK42" s="23" t="n"/>
      <c r="AL42" s="24">
        <f>IF(AK42="","",IF(AK42="NE","",(IFERROR(IF(ISNUMBER(AK42),AK42,VALUE(AK42)),0)/2)*$F42*$F$35*20))</f>
        <v/>
      </c>
      <c r="AM42" s="25">
        <f>IF(AK42="","◄",IF(AK42="NE","~",""))</f>
        <v/>
      </c>
      <c r="AN42" s="23" t="n"/>
      <c r="AO42" s="24">
        <f>IF(AN42="","",IF(AN42="NE","",(IFERROR(IF(ISNUMBER(AN42),AN42,VALUE(AN42)),0)/2)*$F42*$F$35*20))</f>
        <v/>
      </c>
      <c r="AP42" s="25">
        <f>IF(AN42="","◄",IF(AN42="NE","~",""))</f>
        <v/>
      </c>
      <c r="AQ42" s="23" t="n"/>
      <c r="AR42" s="24">
        <f>IF(AQ42="","",IF(AQ42="NE","",(IFERROR(IF(ISNUMBER(AQ42),AQ42,VALUE(AQ42)),0)/2)*$F42*$F$35*20))</f>
        <v/>
      </c>
      <c r="AS42" s="25">
        <f>IF(AQ42="","◄",IF(AQ42="NE","~",""))</f>
        <v/>
      </c>
      <c r="AT42" s="23" t="n"/>
      <c r="AU42" s="24">
        <f>IF(AT42="","",IF(AT42="NE","",(IFERROR(IF(ISNUMBER(AT42),AT42,VALUE(AT42)),0)/2)*$F42*$F$35*20))</f>
        <v/>
      </c>
      <c r="AV42" s="25">
        <f>IF(AT42="","◄",IF(AT42="NE","~",""))</f>
        <v/>
      </c>
      <c r="AW42" s="23" t="n"/>
      <c r="AX42" s="24">
        <f>IF(AW42="","",IF(AW42="NE","",(IFERROR(IF(ISNUMBER(AW42),AW42,VALUE(AW42)),0)/2)*$F42*$F$35*20))</f>
        <v/>
      </c>
      <c r="AY42" s="25">
        <f>IF(AW42="","◄",IF(AW42="NE","~",""))</f>
        <v/>
      </c>
      <c r="AZ42" s="23" t="n"/>
      <c r="BA42" s="24">
        <f>IF(AZ42="","",IF(AZ42="NE","",(IFERROR(IF(ISNUMBER(AZ42),AZ42,VALUE(AZ42)),0)/2)*$F42*$F$35*20))</f>
        <v/>
      </c>
      <c r="BB42" s="25">
        <f>IF(AZ42="","◄",IF(AZ42="NE","~",""))</f>
        <v/>
      </c>
      <c r="BC42" s="23" t="n"/>
      <c r="BD42" s="24">
        <f>IF(BC42="","",IF(BC42="NE","",(IFERROR(IF(ISNUMBER(BC42),BC42,VALUE(BC42)),0)/2)*$F42*$F$35*20))</f>
        <v/>
      </c>
      <c r="BE42" s="25">
        <f>IF(BC42="","◄",IF(BC42="NE","~",""))</f>
        <v/>
      </c>
      <c r="BF42" s="23" t="n"/>
      <c r="BG42" s="24">
        <f>IF(BF42="","",IF(BF42="NE","",(IFERROR(IF(ISNUMBER(BF42),BF42,VALUE(BF42)),0)/2)*$F42*$F$35*20))</f>
        <v/>
      </c>
      <c r="BH42" s="25">
        <f>IF(BF42="","◄",IF(BF42="NE","~",""))</f>
        <v/>
      </c>
      <c r="BI42" s="23" t="n"/>
      <c r="BJ42" s="24">
        <f>IF(BI42="","",IF(BI42="NE","",(IFERROR(IF(ISNUMBER(BI42),BI42,VALUE(BI42)),0)/2)*$F42*$F$35*20))</f>
        <v/>
      </c>
      <c r="BK42" s="25">
        <f>IF(BI42="","◄",IF(BI42="NE","~",""))</f>
        <v/>
      </c>
      <c r="BL42" s="23" t="n"/>
      <c r="BM42" s="24">
        <f>IF(BL42="","",IF(BL42="NE","",(IFERROR(IF(ISNUMBER(BL42),BL42,VALUE(BL42)),0)/2)*$F42*$F$35*20))</f>
        <v/>
      </c>
      <c r="BN42" s="25">
        <f>IF(BL42="","◄",IF(BL42="NE","~",""))</f>
        <v/>
      </c>
      <c r="BO42" s="23" t="n"/>
      <c r="BP42" s="24">
        <f>IF(BO42="","",IF(BO42="NE","",(IFERROR(IF(ISNUMBER(BO42),BO42,VALUE(BO42)),0)/2)*$F42*$F$35*20))</f>
        <v/>
      </c>
      <c r="BQ42" s="25">
        <f>IF(BO42="","◄",IF(BO42="NE","~",""))</f>
        <v/>
      </c>
      <c r="BR42" s="23" t="n"/>
      <c r="BS42" s="24">
        <f>IF(BR42="","",IF(BR42="NE","",(IFERROR(IF(ISNUMBER(BR42),BR42,VALUE(BR42)),0)/2)*$F42*$F$35*20))</f>
        <v/>
      </c>
      <c r="BT42" s="25">
        <f>IF(BR42="","◄",IF(BR42="NE","~",""))</f>
        <v/>
      </c>
      <c r="BU42" s="23" t="n"/>
      <c r="BV42" s="24">
        <f>IF(BU42="","",IF(BU42="NE","",(IFERROR(IF(ISNUMBER(BU42),BU42,VALUE(BU42)),0)/2)*$F42*$F$35*20))</f>
        <v/>
      </c>
      <c r="BW42" s="25">
        <f>IF(BU42="","◄",IF(BU42="NE","~",""))</f>
        <v/>
      </c>
      <c r="BX42" s="23" t="n"/>
      <c r="BY42" s="24">
        <f>IF(BX42="","",IF(BX42="NE","",(IFERROR(IF(ISNUMBER(BX42),BX42,VALUE(BX42)),0)/2)*$F42*$F$35*20))</f>
        <v/>
      </c>
      <c r="BZ42" s="25">
        <f>IF(BX42="","◄",IF(BX42="NE","~",""))</f>
        <v/>
      </c>
      <c r="CA42" s="23" t="n"/>
      <c r="CB42" s="24">
        <f>IF(CA42="","",IF(CA42="NE","",(IFERROR(IF(ISNUMBER(CA42),CA42,VALUE(CA42)),0)/2)*$F42*$F$35*20))</f>
        <v/>
      </c>
      <c r="CC42" s="25">
        <f>IF(CA42="","◄",IF(CA42="NE","~",""))</f>
        <v/>
      </c>
      <c r="CD42" s="23" t="n"/>
      <c r="CE42" s="24">
        <f>IF(CD42="","",IF(CD42="NE","",(IFERROR(IF(ISNUMBER(CD42),CD42,VALUE(CD42)),0)/2)*$F42*$F$35*20))</f>
        <v/>
      </c>
      <c r="CF42" s="25">
        <f>IF(CD42="","◄",IF(CD42="NE","~",""))</f>
        <v/>
      </c>
      <c r="CG42" s="23" t="n"/>
      <c r="CH42" s="24">
        <f>IF(CG42="","",IF(CG42="NE","",(IFERROR(IF(ISNUMBER(CG42),CG42,VALUE(CG42)),0)/2)*$F42*$F$35*20))</f>
        <v/>
      </c>
      <c r="CI42" s="25">
        <f>IF(CG42="","◄",IF(CG42="NE","~",""))</f>
        <v/>
      </c>
      <c r="CJ42" s="23" t="n"/>
      <c r="CK42" s="24">
        <f>IF(CJ42="","",IF(CJ42="NE","",(IFERROR(IF(ISNUMBER(CJ42),CJ42,VALUE(CJ42)),0)/2)*$F42*$F$35*20))</f>
        <v/>
      </c>
      <c r="CL42" s="25">
        <f>IF(CJ42="","◄",IF(CJ42="NE","~",""))</f>
        <v/>
      </c>
      <c r="CM42" s="23" t="n"/>
      <c r="CN42" s="24">
        <f>IF(CM42="","",IF(CM42="NE","",(IFERROR(IF(ISNUMBER(CM42),CM42,VALUE(CM42)),0)/2)*$F42*$F$35*20))</f>
        <v/>
      </c>
      <c r="CO42" s="25">
        <f>IF(CM42="","◄",IF(CM42="NE","~",""))</f>
        <v/>
      </c>
      <c r="CP42" s="23" t="n"/>
      <c r="CQ42" s="24">
        <f>IF(CP42="","",IF(CP42="NE","",(IFERROR(IF(ISNUMBER(CP42),CP42,VALUE(CP42)),0)/2)*$F42*$F$35*20))</f>
        <v/>
      </c>
      <c r="CR42" s="25">
        <f>IF(CP42="","◄",IF(CP42="NE","~",""))</f>
        <v/>
      </c>
    </row>
    <row r="43" ht="36" customHeight="1">
      <c r="A43" s="20" t="n">
        <v>34</v>
      </c>
      <c r="B43" s="20" t="inlineStr">
        <is>
          <t>P5</t>
        </is>
      </c>
      <c r="C43" s="20" t="inlineStr">
        <is>
          <t>Q5.4</t>
        </is>
      </c>
      <c r="D43" s="20" t="inlineStr">
        <is>
          <t>Critère</t>
        </is>
      </c>
      <c r="E43" s="21" t="inlineStr">
        <is>
          <t>La dalle existante et le sol sont capables de supporter l'installation complète.</t>
        </is>
      </c>
      <c r="F43" s="22" t="n">
        <v>0.1</v>
      </c>
      <c r="G43" s="23" t="n"/>
      <c r="H43" s="24">
        <f>IF(G43="","",IF(G43="NE","",(IFERROR(IF(ISNUMBER(G43),G43,VALUE(G43)),0)/2)*$F43*$F$35*20))</f>
        <v/>
      </c>
      <c r="I43" s="25">
        <f>IF(G43="","◄",IF(G43="NE","~",""))</f>
        <v/>
      </c>
      <c r="J43" s="23" t="n"/>
      <c r="K43" s="24">
        <f>IF(J43="","",IF(J43="NE","",(IFERROR(IF(ISNUMBER(J43),J43,VALUE(J43)),0)/2)*$F43*$F$35*20))</f>
        <v/>
      </c>
      <c r="L43" s="25">
        <f>IF(J43="","◄",IF(J43="NE","~",""))</f>
        <v/>
      </c>
      <c r="M43" s="23" t="n"/>
      <c r="N43" s="24">
        <f>IF(M43="","",IF(M43="NE","",(IFERROR(IF(ISNUMBER(M43),M43,VALUE(M43)),0)/2)*$F43*$F$35*20))</f>
        <v/>
      </c>
      <c r="O43" s="25">
        <f>IF(M43="","◄",IF(M43="NE","~",""))</f>
        <v/>
      </c>
      <c r="P43" s="23" t="n"/>
      <c r="Q43" s="24">
        <f>IF(P43="","",IF(P43="NE","",(IFERROR(IF(ISNUMBER(P43),P43,VALUE(P43)),0)/2)*$F43*$F$35*20))</f>
        <v/>
      </c>
      <c r="R43" s="25">
        <f>IF(P43="","◄",IF(P43="NE","~",""))</f>
        <v/>
      </c>
      <c r="S43" s="23" t="n"/>
      <c r="T43" s="24">
        <f>IF(S43="","",IF(S43="NE","",(IFERROR(IF(ISNUMBER(S43),S43,VALUE(S43)),0)/2)*$F43*$F$35*20))</f>
        <v/>
      </c>
      <c r="U43" s="25">
        <f>IF(S43="","◄",IF(S43="NE","~",""))</f>
        <v/>
      </c>
      <c r="V43" s="23" t="n"/>
      <c r="W43" s="24">
        <f>IF(V43="","",IF(V43="NE","",(IFERROR(IF(ISNUMBER(V43),V43,VALUE(V43)),0)/2)*$F43*$F$35*20))</f>
        <v/>
      </c>
      <c r="X43" s="25">
        <f>IF(V43="","◄",IF(V43="NE","~",""))</f>
        <v/>
      </c>
      <c r="Y43" s="23" t="n"/>
      <c r="Z43" s="24">
        <f>IF(Y43="","",IF(Y43="NE","",(IFERROR(IF(ISNUMBER(Y43),Y43,VALUE(Y43)),0)/2)*$F43*$F$35*20))</f>
        <v/>
      </c>
      <c r="AA43" s="25">
        <f>IF(Y43="","◄",IF(Y43="NE","~",""))</f>
        <v/>
      </c>
      <c r="AB43" s="23" t="n"/>
      <c r="AC43" s="24">
        <f>IF(AB43="","",IF(AB43="NE","",(IFERROR(IF(ISNUMBER(AB43),AB43,VALUE(AB43)),0)/2)*$F43*$F$35*20))</f>
        <v/>
      </c>
      <c r="AD43" s="25">
        <f>IF(AB43="","◄",IF(AB43="NE","~",""))</f>
        <v/>
      </c>
      <c r="AE43" s="23" t="n"/>
      <c r="AF43" s="24">
        <f>IF(AE43="","",IF(AE43="NE","",(IFERROR(IF(ISNUMBER(AE43),AE43,VALUE(AE43)),0)/2)*$F43*$F$35*20))</f>
        <v/>
      </c>
      <c r="AG43" s="25">
        <f>IF(AE43="","◄",IF(AE43="NE","~",""))</f>
        <v/>
      </c>
      <c r="AH43" s="23" t="n"/>
      <c r="AI43" s="24">
        <f>IF(AH43="","",IF(AH43="NE","",(IFERROR(IF(ISNUMBER(AH43),AH43,VALUE(AH43)),0)/2)*$F43*$F$35*20))</f>
        <v/>
      </c>
      <c r="AJ43" s="25">
        <f>IF(AH43="","◄",IF(AH43="NE","~",""))</f>
        <v/>
      </c>
      <c r="AK43" s="23" t="n"/>
      <c r="AL43" s="24">
        <f>IF(AK43="","",IF(AK43="NE","",(IFERROR(IF(ISNUMBER(AK43),AK43,VALUE(AK43)),0)/2)*$F43*$F$35*20))</f>
        <v/>
      </c>
      <c r="AM43" s="25">
        <f>IF(AK43="","◄",IF(AK43="NE","~",""))</f>
        <v/>
      </c>
      <c r="AN43" s="23" t="n"/>
      <c r="AO43" s="24">
        <f>IF(AN43="","",IF(AN43="NE","",(IFERROR(IF(ISNUMBER(AN43),AN43,VALUE(AN43)),0)/2)*$F43*$F$35*20))</f>
        <v/>
      </c>
      <c r="AP43" s="25">
        <f>IF(AN43="","◄",IF(AN43="NE","~",""))</f>
        <v/>
      </c>
      <c r="AQ43" s="23" t="n"/>
      <c r="AR43" s="24">
        <f>IF(AQ43="","",IF(AQ43="NE","",(IFERROR(IF(ISNUMBER(AQ43),AQ43,VALUE(AQ43)),0)/2)*$F43*$F$35*20))</f>
        <v/>
      </c>
      <c r="AS43" s="25">
        <f>IF(AQ43="","◄",IF(AQ43="NE","~",""))</f>
        <v/>
      </c>
      <c r="AT43" s="23" t="n"/>
      <c r="AU43" s="24">
        <f>IF(AT43="","",IF(AT43="NE","",(IFERROR(IF(ISNUMBER(AT43),AT43,VALUE(AT43)),0)/2)*$F43*$F$35*20))</f>
        <v/>
      </c>
      <c r="AV43" s="25">
        <f>IF(AT43="","◄",IF(AT43="NE","~",""))</f>
        <v/>
      </c>
      <c r="AW43" s="23" t="n"/>
      <c r="AX43" s="24">
        <f>IF(AW43="","",IF(AW43="NE","",(IFERROR(IF(ISNUMBER(AW43),AW43,VALUE(AW43)),0)/2)*$F43*$F$35*20))</f>
        <v/>
      </c>
      <c r="AY43" s="25">
        <f>IF(AW43="","◄",IF(AW43="NE","~",""))</f>
        <v/>
      </c>
      <c r="AZ43" s="23" t="n"/>
      <c r="BA43" s="24">
        <f>IF(AZ43="","",IF(AZ43="NE","",(IFERROR(IF(ISNUMBER(AZ43),AZ43,VALUE(AZ43)),0)/2)*$F43*$F$35*20))</f>
        <v/>
      </c>
      <c r="BB43" s="25">
        <f>IF(AZ43="","◄",IF(AZ43="NE","~",""))</f>
        <v/>
      </c>
      <c r="BC43" s="23" t="n"/>
      <c r="BD43" s="24">
        <f>IF(BC43="","",IF(BC43="NE","",(IFERROR(IF(ISNUMBER(BC43),BC43,VALUE(BC43)),0)/2)*$F43*$F$35*20))</f>
        <v/>
      </c>
      <c r="BE43" s="25">
        <f>IF(BC43="","◄",IF(BC43="NE","~",""))</f>
        <v/>
      </c>
      <c r="BF43" s="23" t="n"/>
      <c r="BG43" s="24">
        <f>IF(BF43="","",IF(BF43="NE","",(IFERROR(IF(ISNUMBER(BF43),BF43,VALUE(BF43)),0)/2)*$F43*$F$35*20))</f>
        <v/>
      </c>
      <c r="BH43" s="25">
        <f>IF(BF43="","◄",IF(BF43="NE","~",""))</f>
        <v/>
      </c>
      <c r="BI43" s="23" t="n"/>
      <c r="BJ43" s="24">
        <f>IF(BI43="","",IF(BI43="NE","",(IFERROR(IF(ISNUMBER(BI43),BI43,VALUE(BI43)),0)/2)*$F43*$F$35*20))</f>
        <v/>
      </c>
      <c r="BK43" s="25">
        <f>IF(BI43="","◄",IF(BI43="NE","~",""))</f>
        <v/>
      </c>
      <c r="BL43" s="23" t="n"/>
      <c r="BM43" s="24">
        <f>IF(BL43="","",IF(BL43="NE","",(IFERROR(IF(ISNUMBER(BL43),BL43,VALUE(BL43)),0)/2)*$F43*$F$35*20))</f>
        <v/>
      </c>
      <c r="BN43" s="25">
        <f>IF(BL43="","◄",IF(BL43="NE","~",""))</f>
        <v/>
      </c>
      <c r="BO43" s="23" t="n"/>
      <c r="BP43" s="24">
        <f>IF(BO43="","",IF(BO43="NE","",(IFERROR(IF(ISNUMBER(BO43),BO43,VALUE(BO43)),0)/2)*$F43*$F$35*20))</f>
        <v/>
      </c>
      <c r="BQ43" s="25">
        <f>IF(BO43="","◄",IF(BO43="NE","~",""))</f>
        <v/>
      </c>
      <c r="BR43" s="23" t="n"/>
      <c r="BS43" s="24">
        <f>IF(BR43="","",IF(BR43="NE","",(IFERROR(IF(ISNUMBER(BR43),BR43,VALUE(BR43)),0)/2)*$F43*$F$35*20))</f>
        <v/>
      </c>
      <c r="BT43" s="25">
        <f>IF(BR43="","◄",IF(BR43="NE","~",""))</f>
        <v/>
      </c>
      <c r="BU43" s="23" t="n"/>
      <c r="BV43" s="24">
        <f>IF(BU43="","",IF(BU43="NE","",(IFERROR(IF(ISNUMBER(BU43),BU43,VALUE(BU43)),0)/2)*$F43*$F$35*20))</f>
        <v/>
      </c>
      <c r="BW43" s="25">
        <f>IF(BU43="","◄",IF(BU43="NE","~",""))</f>
        <v/>
      </c>
      <c r="BX43" s="23" t="n"/>
      <c r="BY43" s="24">
        <f>IF(BX43="","",IF(BX43="NE","",(IFERROR(IF(ISNUMBER(BX43),BX43,VALUE(BX43)),0)/2)*$F43*$F$35*20))</f>
        <v/>
      </c>
      <c r="BZ43" s="25">
        <f>IF(BX43="","◄",IF(BX43="NE","~",""))</f>
        <v/>
      </c>
      <c r="CA43" s="23" t="n"/>
      <c r="CB43" s="24">
        <f>IF(CA43="","",IF(CA43="NE","",(IFERROR(IF(ISNUMBER(CA43),CA43,VALUE(CA43)),0)/2)*$F43*$F$35*20))</f>
        <v/>
      </c>
      <c r="CC43" s="25">
        <f>IF(CA43="","◄",IF(CA43="NE","~",""))</f>
        <v/>
      </c>
      <c r="CD43" s="23" t="n"/>
      <c r="CE43" s="24">
        <f>IF(CD43="","",IF(CD43="NE","",(IFERROR(IF(ISNUMBER(CD43),CD43,VALUE(CD43)),0)/2)*$F43*$F$35*20))</f>
        <v/>
      </c>
      <c r="CF43" s="25">
        <f>IF(CD43="","◄",IF(CD43="NE","~",""))</f>
        <v/>
      </c>
      <c r="CG43" s="23" t="n"/>
      <c r="CH43" s="24">
        <f>IF(CG43="","",IF(CG43="NE","",(IFERROR(IF(ISNUMBER(CG43),CG43,VALUE(CG43)),0)/2)*$F43*$F$35*20))</f>
        <v/>
      </c>
      <c r="CI43" s="25">
        <f>IF(CG43="","◄",IF(CG43="NE","~",""))</f>
        <v/>
      </c>
      <c r="CJ43" s="23" t="n"/>
      <c r="CK43" s="24">
        <f>IF(CJ43="","",IF(CJ43="NE","",(IFERROR(IF(ISNUMBER(CJ43),CJ43,VALUE(CJ43)),0)/2)*$F43*$F$35*20))</f>
        <v/>
      </c>
      <c r="CL43" s="25">
        <f>IF(CJ43="","◄",IF(CJ43="NE","~",""))</f>
        <v/>
      </c>
      <c r="CM43" s="23" t="n"/>
      <c r="CN43" s="24">
        <f>IF(CM43="","",IF(CM43="NE","",(IFERROR(IF(ISNUMBER(CM43),CM43,VALUE(CM43)),0)/2)*$F43*$F$35*20))</f>
        <v/>
      </c>
      <c r="CO43" s="25">
        <f>IF(CM43="","◄",IF(CM43="NE","~",""))</f>
        <v/>
      </c>
      <c r="CP43" s="23" t="n"/>
      <c r="CQ43" s="24">
        <f>IF(CP43="","",IF(CP43="NE","",(IFERROR(IF(ISNUMBER(CP43),CP43,VALUE(CP43)),0)/2)*$F43*$F$35*20))</f>
        <v/>
      </c>
      <c r="CR43" s="25">
        <f>IF(CP43="","◄",IF(CP43="NE","~",""))</f>
        <v/>
      </c>
    </row>
    <row r="45">
      <c r="E45" s="26" t="inlineStr">
        <is>
          <t>Audit Σ(poids critères) par partie (doit valoir 1,00 pour chaque P)</t>
        </is>
      </c>
      <c r="F45" s="27">
        <f>SUM($F$6:$F$12)+SUM($F$14:$F$21)+SUM($F$23:$F$26)+SUM($F$28:$F$34)+SUM($F$36:$F$43)</f>
        <v/>
      </c>
    </row>
    <row r="47">
      <c r="E47" s="28" t="inlineStr">
        <is>
          <t>NOTE FINALE / 20</t>
        </is>
      </c>
      <c r="H47" s="29">
        <f>IFERROR((SUM(H6:H12)+SUM(H14:H21)+SUM(H23:H26)+SUM(H28:H34)+SUM(H36:H43))/(SUMPRODUCT(($F$6:$F$12)*(G6:G12&lt;&gt;"")*(G6:G12&lt;&gt;"NE"))*$F$5+SUMPRODUCT(($F$14:$F$21)*(G14:G21&lt;&gt;"")*(G14:G21&lt;&gt;"NE"))*$F$13+SUMPRODUCT(($F$23:$F$26)*(G23:G26&lt;&gt;"")*(G23:G26&lt;&gt;"NE"))*$F$22+SUMPRODUCT(($F$28:$F$34)*(G28:G34&lt;&gt;"")*(G28:G34&lt;&gt;"NE"))*$F$27+SUMPRODUCT(($F$36:$F$43)*(G36:G43&lt;&gt;"")*(G36:G43&lt;&gt;"NE"))*$F$35),"")</f>
        <v/>
      </c>
      <c r="K47" s="29">
        <f>IFERROR((SUM(K6:K12)+SUM(K14:K21)+SUM(K23:K26)+SUM(K28:K34)+SUM(K36:K43))/(SUMPRODUCT(($F$6:$F$12)*(J6:J12&lt;&gt;"")*(J6:J12&lt;&gt;"NE"))*$F$5+SUMPRODUCT(($F$14:$F$21)*(J14:J21&lt;&gt;"")*(J14:J21&lt;&gt;"NE"))*$F$13+SUMPRODUCT(($F$23:$F$26)*(J23:J26&lt;&gt;"")*(J23:J26&lt;&gt;"NE"))*$F$22+SUMPRODUCT(($F$28:$F$34)*(J28:J34&lt;&gt;"")*(J28:J34&lt;&gt;"NE"))*$F$27+SUMPRODUCT(($F$36:$F$43)*(J36:J43&lt;&gt;"")*(J36:J43&lt;&gt;"NE"))*$F$35),"")</f>
        <v/>
      </c>
      <c r="N47" s="29">
        <f>IFERROR((SUM(N6:N12)+SUM(N14:N21)+SUM(N23:N26)+SUM(N28:N34)+SUM(N36:N43))/(SUMPRODUCT(($F$6:$F$12)*(M6:M12&lt;&gt;"")*(M6:M12&lt;&gt;"NE"))*$F$5+SUMPRODUCT(($F$14:$F$21)*(M14:M21&lt;&gt;"")*(M14:M21&lt;&gt;"NE"))*$F$13+SUMPRODUCT(($F$23:$F$26)*(M23:M26&lt;&gt;"")*(M23:M26&lt;&gt;"NE"))*$F$22+SUMPRODUCT(($F$28:$F$34)*(M28:M34&lt;&gt;"")*(M28:M34&lt;&gt;"NE"))*$F$27+SUMPRODUCT(($F$36:$F$43)*(M36:M43&lt;&gt;"")*(M36:M43&lt;&gt;"NE"))*$F$35),"")</f>
        <v/>
      </c>
      <c r="Q47" s="29">
        <f>IFERROR((SUM(Q6:Q12)+SUM(Q14:Q21)+SUM(Q23:Q26)+SUM(Q28:Q34)+SUM(Q36:Q43))/(SUMPRODUCT(($F$6:$F$12)*(P6:P12&lt;&gt;"")*(P6:P12&lt;&gt;"NE"))*$F$5+SUMPRODUCT(($F$14:$F$21)*(P14:P21&lt;&gt;"")*(P14:P21&lt;&gt;"NE"))*$F$13+SUMPRODUCT(($F$23:$F$26)*(P23:P26&lt;&gt;"")*(P23:P26&lt;&gt;"NE"))*$F$22+SUMPRODUCT(($F$28:$F$34)*(P28:P34&lt;&gt;"")*(P28:P34&lt;&gt;"NE"))*$F$27+SUMPRODUCT(($F$36:$F$43)*(P36:P43&lt;&gt;"")*(P36:P43&lt;&gt;"NE"))*$F$35),"")</f>
        <v/>
      </c>
      <c r="T47" s="29">
        <f>IFERROR((SUM(T6:T12)+SUM(T14:T21)+SUM(T23:T26)+SUM(T28:T34)+SUM(T36:T43))/(SUMPRODUCT(($F$6:$F$12)*(S6:S12&lt;&gt;"")*(S6:S12&lt;&gt;"NE"))*$F$5+SUMPRODUCT(($F$14:$F$21)*(S14:S21&lt;&gt;"")*(S14:S21&lt;&gt;"NE"))*$F$13+SUMPRODUCT(($F$23:$F$26)*(S23:S26&lt;&gt;"")*(S23:S26&lt;&gt;"NE"))*$F$22+SUMPRODUCT(($F$28:$F$34)*(S28:S34&lt;&gt;"")*(S28:S34&lt;&gt;"NE"))*$F$27+SUMPRODUCT(($F$36:$F$43)*(S36:S43&lt;&gt;"")*(S36:S43&lt;&gt;"NE"))*$F$35),"")</f>
        <v/>
      </c>
      <c r="W47" s="29">
        <f>IFERROR((SUM(W6:W12)+SUM(W14:W21)+SUM(W23:W26)+SUM(W28:W34)+SUM(W36:W43))/(SUMPRODUCT(($F$6:$F$12)*(V6:V12&lt;&gt;"")*(V6:V12&lt;&gt;"NE"))*$F$5+SUMPRODUCT(($F$14:$F$21)*(V14:V21&lt;&gt;"")*(V14:V21&lt;&gt;"NE"))*$F$13+SUMPRODUCT(($F$23:$F$26)*(V23:V26&lt;&gt;"")*(V23:V26&lt;&gt;"NE"))*$F$22+SUMPRODUCT(($F$28:$F$34)*(V28:V34&lt;&gt;"")*(V28:V34&lt;&gt;"NE"))*$F$27+SUMPRODUCT(($F$36:$F$43)*(V36:V43&lt;&gt;"")*(V36:V43&lt;&gt;"NE"))*$F$35),"")</f>
        <v/>
      </c>
      <c r="Z47" s="29">
        <f>IFERROR((SUM(Z6:Z12)+SUM(Z14:Z21)+SUM(Z23:Z26)+SUM(Z28:Z34)+SUM(Z36:Z43))/(SUMPRODUCT(($F$6:$F$12)*(Y6:Y12&lt;&gt;"")*(Y6:Y12&lt;&gt;"NE"))*$F$5+SUMPRODUCT(($F$14:$F$21)*(Y14:Y21&lt;&gt;"")*(Y14:Y21&lt;&gt;"NE"))*$F$13+SUMPRODUCT(($F$23:$F$26)*(Y23:Y26&lt;&gt;"")*(Y23:Y26&lt;&gt;"NE"))*$F$22+SUMPRODUCT(($F$28:$F$34)*(Y28:Y34&lt;&gt;"")*(Y28:Y34&lt;&gt;"NE"))*$F$27+SUMPRODUCT(($F$36:$F$43)*(Y36:Y43&lt;&gt;"")*(Y36:Y43&lt;&gt;"NE"))*$F$35),"")</f>
        <v/>
      </c>
      <c r="AC47" s="29">
        <f>IFERROR((SUM(AC6:AC12)+SUM(AC14:AC21)+SUM(AC23:AC26)+SUM(AC28:AC34)+SUM(AC36:AC43))/(SUMPRODUCT(($F$6:$F$12)*(AB6:AB12&lt;&gt;"")*(AB6:AB12&lt;&gt;"NE"))*$F$5+SUMPRODUCT(($F$14:$F$21)*(AB14:AB21&lt;&gt;"")*(AB14:AB21&lt;&gt;"NE"))*$F$13+SUMPRODUCT(($F$23:$F$26)*(AB23:AB26&lt;&gt;"")*(AB23:AB26&lt;&gt;"NE"))*$F$22+SUMPRODUCT(($F$28:$F$34)*(AB28:AB34&lt;&gt;"")*(AB28:AB34&lt;&gt;"NE"))*$F$27+SUMPRODUCT(($F$36:$F$43)*(AB36:AB43&lt;&gt;"")*(AB36:AB43&lt;&gt;"NE"))*$F$35),"")</f>
        <v/>
      </c>
      <c r="AF47" s="29">
        <f>IFERROR((SUM(AF6:AF12)+SUM(AF14:AF21)+SUM(AF23:AF26)+SUM(AF28:AF34)+SUM(AF36:AF43))/(SUMPRODUCT(($F$6:$F$12)*(AE6:AE12&lt;&gt;"")*(AE6:AE12&lt;&gt;"NE"))*$F$5+SUMPRODUCT(($F$14:$F$21)*(AE14:AE21&lt;&gt;"")*(AE14:AE21&lt;&gt;"NE"))*$F$13+SUMPRODUCT(($F$23:$F$26)*(AE23:AE26&lt;&gt;"")*(AE23:AE26&lt;&gt;"NE"))*$F$22+SUMPRODUCT(($F$28:$F$34)*(AE28:AE34&lt;&gt;"")*(AE28:AE34&lt;&gt;"NE"))*$F$27+SUMPRODUCT(($F$36:$F$43)*(AE36:AE43&lt;&gt;"")*(AE36:AE43&lt;&gt;"NE"))*$F$35),"")</f>
        <v/>
      </c>
      <c r="AI47" s="29">
        <f>IFERROR((SUM(AI6:AI12)+SUM(AI14:AI21)+SUM(AI23:AI26)+SUM(AI28:AI34)+SUM(AI36:AI43))/(SUMPRODUCT(($F$6:$F$12)*(AH6:AH12&lt;&gt;"")*(AH6:AH12&lt;&gt;"NE"))*$F$5+SUMPRODUCT(($F$14:$F$21)*(AH14:AH21&lt;&gt;"")*(AH14:AH21&lt;&gt;"NE"))*$F$13+SUMPRODUCT(($F$23:$F$26)*(AH23:AH26&lt;&gt;"")*(AH23:AH26&lt;&gt;"NE"))*$F$22+SUMPRODUCT(($F$28:$F$34)*(AH28:AH34&lt;&gt;"")*(AH28:AH34&lt;&gt;"NE"))*$F$27+SUMPRODUCT(($F$36:$F$43)*(AH36:AH43&lt;&gt;"")*(AH36:AH43&lt;&gt;"NE"))*$F$35),"")</f>
        <v/>
      </c>
      <c r="AL47" s="29">
        <f>IFERROR((SUM(AL6:AL12)+SUM(AL14:AL21)+SUM(AL23:AL26)+SUM(AL28:AL34)+SUM(AL36:AL43))/(SUMPRODUCT(($F$6:$F$12)*(AK6:AK12&lt;&gt;"")*(AK6:AK12&lt;&gt;"NE"))*$F$5+SUMPRODUCT(($F$14:$F$21)*(AK14:AK21&lt;&gt;"")*(AK14:AK21&lt;&gt;"NE"))*$F$13+SUMPRODUCT(($F$23:$F$26)*(AK23:AK26&lt;&gt;"")*(AK23:AK26&lt;&gt;"NE"))*$F$22+SUMPRODUCT(($F$28:$F$34)*(AK28:AK34&lt;&gt;"")*(AK28:AK34&lt;&gt;"NE"))*$F$27+SUMPRODUCT(($F$36:$F$43)*(AK36:AK43&lt;&gt;"")*(AK36:AK43&lt;&gt;"NE"))*$F$35),"")</f>
        <v/>
      </c>
      <c r="AO47" s="29">
        <f>IFERROR((SUM(AO6:AO12)+SUM(AO14:AO21)+SUM(AO23:AO26)+SUM(AO28:AO34)+SUM(AO36:AO43))/(SUMPRODUCT(($F$6:$F$12)*(AN6:AN12&lt;&gt;"")*(AN6:AN12&lt;&gt;"NE"))*$F$5+SUMPRODUCT(($F$14:$F$21)*(AN14:AN21&lt;&gt;"")*(AN14:AN21&lt;&gt;"NE"))*$F$13+SUMPRODUCT(($F$23:$F$26)*(AN23:AN26&lt;&gt;"")*(AN23:AN26&lt;&gt;"NE"))*$F$22+SUMPRODUCT(($F$28:$F$34)*(AN28:AN34&lt;&gt;"")*(AN28:AN34&lt;&gt;"NE"))*$F$27+SUMPRODUCT(($F$36:$F$43)*(AN36:AN43&lt;&gt;"")*(AN36:AN43&lt;&gt;"NE"))*$F$35),"")</f>
        <v/>
      </c>
      <c r="AR47" s="29">
        <f>IFERROR((SUM(AR6:AR12)+SUM(AR14:AR21)+SUM(AR23:AR26)+SUM(AR28:AR34)+SUM(AR36:AR43))/(SUMPRODUCT(($F$6:$F$12)*(AQ6:AQ12&lt;&gt;"")*(AQ6:AQ12&lt;&gt;"NE"))*$F$5+SUMPRODUCT(($F$14:$F$21)*(AQ14:AQ21&lt;&gt;"")*(AQ14:AQ21&lt;&gt;"NE"))*$F$13+SUMPRODUCT(($F$23:$F$26)*(AQ23:AQ26&lt;&gt;"")*(AQ23:AQ26&lt;&gt;"NE"))*$F$22+SUMPRODUCT(($F$28:$F$34)*(AQ28:AQ34&lt;&gt;"")*(AQ28:AQ34&lt;&gt;"NE"))*$F$27+SUMPRODUCT(($F$36:$F$43)*(AQ36:AQ43&lt;&gt;"")*(AQ36:AQ43&lt;&gt;"NE"))*$F$35),"")</f>
        <v/>
      </c>
      <c r="AU47" s="29">
        <f>IFERROR((SUM(AU6:AU12)+SUM(AU14:AU21)+SUM(AU23:AU26)+SUM(AU28:AU34)+SUM(AU36:AU43))/(SUMPRODUCT(($F$6:$F$12)*(AT6:AT12&lt;&gt;"")*(AT6:AT12&lt;&gt;"NE"))*$F$5+SUMPRODUCT(($F$14:$F$21)*(AT14:AT21&lt;&gt;"")*(AT14:AT21&lt;&gt;"NE"))*$F$13+SUMPRODUCT(($F$23:$F$26)*(AT23:AT26&lt;&gt;"")*(AT23:AT26&lt;&gt;"NE"))*$F$22+SUMPRODUCT(($F$28:$F$34)*(AT28:AT34&lt;&gt;"")*(AT28:AT34&lt;&gt;"NE"))*$F$27+SUMPRODUCT(($F$36:$F$43)*(AT36:AT43&lt;&gt;"")*(AT36:AT43&lt;&gt;"NE"))*$F$35),"")</f>
        <v/>
      </c>
      <c r="AX47" s="29">
        <f>IFERROR((SUM(AX6:AX12)+SUM(AX14:AX21)+SUM(AX23:AX26)+SUM(AX28:AX34)+SUM(AX36:AX43))/(SUMPRODUCT(($F$6:$F$12)*(AW6:AW12&lt;&gt;"")*(AW6:AW12&lt;&gt;"NE"))*$F$5+SUMPRODUCT(($F$14:$F$21)*(AW14:AW21&lt;&gt;"")*(AW14:AW21&lt;&gt;"NE"))*$F$13+SUMPRODUCT(($F$23:$F$26)*(AW23:AW26&lt;&gt;"")*(AW23:AW26&lt;&gt;"NE"))*$F$22+SUMPRODUCT(($F$28:$F$34)*(AW28:AW34&lt;&gt;"")*(AW28:AW34&lt;&gt;"NE"))*$F$27+SUMPRODUCT(($F$36:$F$43)*(AW36:AW43&lt;&gt;"")*(AW36:AW43&lt;&gt;"NE"))*$F$35),"")</f>
        <v/>
      </c>
      <c r="BA47" s="29">
        <f>IFERROR((SUM(BA6:BA12)+SUM(BA14:BA21)+SUM(BA23:BA26)+SUM(BA28:BA34)+SUM(BA36:BA43))/(SUMPRODUCT(($F$6:$F$12)*(AZ6:AZ12&lt;&gt;"")*(AZ6:AZ12&lt;&gt;"NE"))*$F$5+SUMPRODUCT(($F$14:$F$21)*(AZ14:AZ21&lt;&gt;"")*(AZ14:AZ21&lt;&gt;"NE"))*$F$13+SUMPRODUCT(($F$23:$F$26)*(AZ23:AZ26&lt;&gt;"")*(AZ23:AZ26&lt;&gt;"NE"))*$F$22+SUMPRODUCT(($F$28:$F$34)*(AZ28:AZ34&lt;&gt;"")*(AZ28:AZ34&lt;&gt;"NE"))*$F$27+SUMPRODUCT(($F$36:$F$43)*(AZ36:AZ43&lt;&gt;"")*(AZ36:AZ43&lt;&gt;"NE"))*$F$35),"")</f>
        <v/>
      </c>
      <c r="BD47" s="29">
        <f>IFERROR((SUM(BD6:BD12)+SUM(BD14:BD21)+SUM(BD23:BD26)+SUM(BD28:BD34)+SUM(BD36:BD43))/(SUMPRODUCT(($F$6:$F$12)*(BC6:BC12&lt;&gt;"")*(BC6:BC12&lt;&gt;"NE"))*$F$5+SUMPRODUCT(($F$14:$F$21)*(BC14:BC21&lt;&gt;"")*(BC14:BC21&lt;&gt;"NE"))*$F$13+SUMPRODUCT(($F$23:$F$26)*(BC23:BC26&lt;&gt;"")*(BC23:BC26&lt;&gt;"NE"))*$F$22+SUMPRODUCT(($F$28:$F$34)*(BC28:BC34&lt;&gt;"")*(BC28:BC34&lt;&gt;"NE"))*$F$27+SUMPRODUCT(($F$36:$F$43)*(BC36:BC43&lt;&gt;"")*(BC36:BC43&lt;&gt;"NE"))*$F$35),"")</f>
        <v/>
      </c>
      <c r="BG47" s="29">
        <f>IFERROR((SUM(BG6:BG12)+SUM(BG14:BG21)+SUM(BG23:BG26)+SUM(BG28:BG34)+SUM(BG36:BG43))/(SUMPRODUCT(($F$6:$F$12)*(BF6:BF12&lt;&gt;"")*(BF6:BF12&lt;&gt;"NE"))*$F$5+SUMPRODUCT(($F$14:$F$21)*(BF14:BF21&lt;&gt;"")*(BF14:BF21&lt;&gt;"NE"))*$F$13+SUMPRODUCT(($F$23:$F$26)*(BF23:BF26&lt;&gt;"")*(BF23:BF26&lt;&gt;"NE"))*$F$22+SUMPRODUCT(($F$28:$F$34)*(BF28:BF34&lt;&gt;"")*(BF28:BF34&lt;&gt;"NE"))*$F$27+SUMPRODUCT(($F$36:$F$43)*(BF36:BF43&lt;&gt;"")*(BF36:BF43&lt;&gt;"NE"))*$F$35),"")</f>
        <v/>
      </c>
      <c r="BJ47" s="29">
        <f>IFERROR((SUM(BJ6:BJ12)+SUM(BJ14:BJ21)+SUM(BJ23:BJ26)+SUM(BJ28:BJ34)+SUM(BJ36:BJ43))/(SUMPRODUCT(($F$6:$F$12)*(BI6:BI12&lt;&gt;"")*(BI6:BI12&lt;&gt;"NE"))*$F$5+SUMPRODUCT(($F$14:$F$21)*(BI14:BI21&lt;&gt;"")*(BI14:BI21&lt;&gt;"NE"))*$F$13+SUMPRODUCT(($F$23:$F$26)*(BI23:BI26&lt;&gt;"")*(BI23:BI26&lt;&gt;"NE"))*$F$22+SUMPRODUCT(($F$28:$F$34)*(BI28:BI34&lt;&gt;"")*(BI28:BI34&lt;&gt;"NE"))*$F$27+SUMPRODUCT(($F$36:$F$43)*(BI36:BI43&lt;&gt;"")*(BI36:BI43&lt;&gt;"NE"))*$F$35),"")</f>
        <v/>
      </c>
      <c r="BM47" s="29">
        <f>IFERROR((SUM(BM6:BM12)+SUM(BM14:BM21)+SUM(BM23:BM26)+SUM(BM28:BM34)+SUM(BM36:BM43))/(SUMPRODUCT(($F$6:$F$12)*(BL6:BL12&lt;&gt;"")*(BL6:BL12&lt;&gt;"NE"))*$F$5+SUMPRODUCT(($F$14:$F$21)*(BL14:BL21&lt;&gt;"")*(BL14:BL21&lt;&gt;"NE"))*$F$13+SUMPRODUCT(($F$23:$F$26)*(BL23:BL26&lt;&gt;"")*(BL23:BL26&lt;&gt;"NE"))*$F$22+SUMPRODUCT(($F$28:$F$34)*(BL28:BL34&lt;&gt;"")*(BL28:BL34&lt;&gt;"NE"))*$F$27+SUMPRODUCT(($F$36:$F$43)*(BL36:BL43&lt;&gt;"")*(BL36:BL43&lt;&gt;"NE"))*$F$35),"")</f>
        <v/>
      </c>
      <c r="BP47" s="29">
        <f>IFERROR((SUM(BP6:BP12)+SUM(BP14:BP21)+SUM(BP23:BP26)+SUM(BP28:BP34)+SUM(BP36:BP43))/(SUMPRODUCT(($F$6:$F$12)*(BO6:BO12&lt;&gt;"")*(BO6:BO12&lt;&gt;"NE"))*$F$5+SUMPRODUCT(($F$14:$F$21)*(BO14:BO21&lt;&gt;"")*(BO14:BO21&lt;&gt;"NE"))*$F$13+SUMPRODUCT(($F$23:$F$26)*(BO23:BO26&lt;&gt;"")*(BO23:BO26&lt;&gt;"NE"))*$F$22+SUMPRODUCT(($F$28:$F$34)*(BO28:BO34&lt;&gt;"")*(BO28:BO34&lt;&gt;"NE"))*$F$27+SUMPRODUCT(($F$36:$F$43)*(BO36:BO43&lt;&gt;"")*(BO36:BO43&lt;&gt;"NE"))*$F$35),"")</f>
        <v/>
      </c>
      <c r="BS47" s="29">
        <f>IFERROR((SUM(BS6:BS12)+SUM(BS14:BS21)+SUM(BS23:BS26)+SUM(BS28:BS34)+SUM(BS36:BS43))/(SUMPRODUCT(($F$6:$F$12)*(BR6:BR12&lt;&gt;"")*(BR6:BR12&lt;&gt;"NE"))*$F$5+SUMPRODUCT(($F$14:$F$21)*(BR14:BR21&lt;&gt;"")*(BR14:BR21&lt;&gt;"NE"))*$F$13+SUMPRODUCT(($F$23:$F$26)*(BR23:BR26&lt;&gt;"")*(BR23:BR26&lt;&gt;"NE"))*$F$22+SUMPRODUCT(($F$28:$F$34)*(BR28:BR34&lt;&gt;"")*(BR28:BR34&lt;&gt;"NE"))*$F$27+SUMPRODUCT(($F$36:$F$43)*(BR36:BR43&lt;&gt;"")*(BR36:BR43&lt;&gt;"NE"))*$F$35),"")</f>
        <v/>
      </c>
      <c r="BV47" s="29">
        <f>IFERROR((SUM(BV6:BV12)+SUM(BV14:BV21)+SUM(BV23:BV26)+SUM(BV28:BV34)+SUM(BV36:BV43))/(SUMPRODUCT(($F$6:$F$12)*(BU6:BU12&lt;&gt;"")*(BU6:BU12&lt;&gt;"NE"))*$F$5+SUMPRODUCT(($F$14:$F$21)*(BU14:BU21&lt;&gt;"")*(BU14:BU21&lt;&gt;"NE"))*$F$13+SUMPRODUCT(($F$23:$F$26)*(BU23:BU26&lt;&gt;"")*(BU23:BU26&lt;&gt;"NE"))*$F$22+SUMPRODUCT(($F$28:$F$34)*(BU28:BU34&lt;&gt;"")*(BU28:BU34&lt;&gt;"NE"))*$F$27+SUMPRODUCT(($F$36:$F$43)*(BU36:BU43&lt;&gt;"")*(BU36:BU43&lt;&gt;"NE"))*$F$35),"")</f>
        <v/>
      </c>
      <c r="BY47" s="29">
        <f>IFERROR((SUM(BY6:BY12)+SUM(BY14:BY21)+SUM(BY23:BY26)+SUM(BY28:BY34)+SUM(BY36:BY43))/(SUMPRODUCT(($F$6:$F$12)*(BX6:BX12&lt;&gt;"")*(BX6:BX12&lt;&gt;"NE"))*$F$5+SUMPRODUCT(($F$14:$F$21)*(BX14:BX21&lt;&gt;"")*(BX14:BX21&lt;&gt;"NE"))*$F$13+SUMPRODUCT(($F$23:$F$26)*(BX23:BX26&lt;&gt;"")*(BX23:BX26&lt;&gt;"NE"))*$F$22+SUMPRODUCT(($F$28:$F$34)*(BX28:BX34&lt;&gt;"")*(BX28:BX34&lt;&gt;"NE"))*$F$27+SUMPRODUCT(($F$36:$F$43)*(BX36:BX43&lt;&gt;"")*(BX36:BX43&lt;&gt;"NE"))*$F$35),"")</f>
        <v/>
      </c>
      <c r="CB47" s="29">
        <f>IFERROR((SUM(CB6:CB12)+SUM(CB14:CB21)+SUM(CB23:CB26)+SUM(CB28:CB34)+SUM(CB36:CB43))/(SUMPRODUCT(($F$6:$F$12)*(CA6:CA12&lt;&gt;"")*(CA6:CA12&lt;&gt;"NE"))*$F$5+SUMPRODUCT(($F$14:$F$21)*(CA14:CA21&lt;&gt;"")*(CA14:CA21&lt;&gt;"NE"))*$F$13+SUMPRODUCT(($F$23:$F$26)*(CA23:CA26&lt;&gt;"")*(CA23:CA26&lt;&gt;"NE"))*$F$22+SUMPRODUCT(($F$28:$F$34)*(CA28:CA34&lt;&gt;"")*(CA28:CA34&lt;&gt;"NE"))*$F$27+SUMPRODUCT(($F$36:$F$43)*(CA36:CA43&lt;&gt;"")*(CA36:CA43&lt;&gt;"NE"))*$F$35),"")</f>
        <v/>
      </c>
      <c r="CE47" s="29">
        <f>IFERROR((SUM(CE6:CE12)+SUM(CE14:CE21)+SUM(CE23:CE26)+SUM(CE28:CE34)+SUM(CE36:CE43))/(SUMPRODUCT(($F$6:$F$12)*(CD6:CD12&lt;&gt;"")*(CD6:CD12&lt;&gt;"NE"))*$F$5+SUMPRODUCT(($F$14:$F$21)*(CD14:CD21&lt;&gt;"")*(CD14:CD21&lt;&gt;"NE"))*$F$13+SUMPRODUCT(($F$23:$F$26)*(CD23:CD26&lt;&gt;"")*(CD23:CD26&lt;&gt;"NE"))*$F$22+SUMPRODUCT(($F$28:$F$34)*(CD28:CD34&lt;&gt;"")*(CD28:CD34&lt;&gt;"NE"))*$F$27+SUMPRODUCT(($F$36:$F$43)*(CD36:CD43&lt;&gt;"")*(CD36:CD43&lt;&gt;"NE"))*$F$35),"")</f>
        <v/>
      </c>
      <c r="CH47" s="29">
        <f>IFERROR((SUM(CH6:CH12)+SUM(CH14:CH21)+SUM(CH23:CH26)+SUM(CH28:CH34)+SUM(CH36:CH43))/(SUMPRODUCT(($F$6:$F$12)*(CG6:CG12&lt;&gt;"")*(CG6:CG12&lt;&gt;"NE"))*$F$5+SUMPRODUCT(($F$14:$F$21)*(CG14:CG21&lt;&gt;"")*(CG14:CG21&lt;&gt;"NE"))*$F$13+SUMPRODUCT(($F$23:$F$26)*(CG23:CG26&lt;&gt;"")*(CG23:CG26&lt;&gt;"NE"))*$F$22+SUMPRODUCT(($F$28:$F$34)*(CG28:CG34&lt;&gt;"")*(CG28:CG34&lt;&gt;"NE"))*$F$27+SUMPRODUCT(($F$36:$F$43)*(CG36:CG43&lt;&gt;"")*(CG36:CG43&lt;&gt;"NE"))*$F$35),"")</f>
        <v/>
      </c>
      <c r="CK47" s="29">
        <f>IFERROR((SUM(CK6:CK12)+SUM(CK14:CK21)+SUM(CK23:CK26)+SUM(CK28:CK34)+SUM(CK36:CK43))/(SUMPRODUCT(($F$6:$F$12)*(CJ6:CJ12&lt;&gt;"")*(CJ6:CJ12&lt;&gt;"NE"))*$F$5+SUMPRODUCT(($F$14:$F$21)*(CJ14:CJ21&lt;&gt;"")*(CJ14:CJ21&lt;&gt;"NE"))*$F$13+SUMPRODUCT(($F$23:$F$26)*(CJ23:CJ26&lt;&gt;"")*(CJ23:CJ26&lt;&gt;"NE"))*$F$22+SUMPRODUCT(($F$28:$F$34)*(CJ28:CJ34&lt;&gt;"")*(CJ28:CJ34&lt;&gt;"NE"))*$F$27+SUMPRODUCT(($F$36:$F$43)*(CJ36:CJ43&lt;&gt;"")*(CJ36:CJ43&lt;&gt;"NE"))*$F$35),"")</f>
        <v/>
      </c>
      <c r="CN47" s="29">
        <f>IFERROR((SUM(CN6:CN12)+SUM(CN14:CN21)+SUM(CN23:CN26)+SUM(CN28:CN34)+SUM(CN36:CN43))/(SUMPRODUCT(($F$6:$F$12)*(CM6:CM12&lt;&gt;"")*(CM6:CM12&lt;&gt;"NE"))*$F$5+SUMPRODUCT(($F$14:$F$21)*(CM14:CM21&lt;&gt;"")*(CM14:CM21&lt;&gt;"NE"))*$F$13+SUMPRODUCT(($F$23:$F$26)*(CM23:CM26&lt;&gt;"")*(CM23:CM26&lt;&gt;"NE"))*$F$22+SUMPRODUCT(($F$28:$F$34)*(CM28:CM34&lt;&gt;"")*(CM28:CM34&lt;&gt;"NE"))*$F$27+SUMPRODUCT(($F$36:$F$43)*(CM36:CM43&lt;&gt;"")*(CM36:CM43&lt;&gt;"NE"))*$F$35),"")</f>
        <v/>
      </c>
      <c r="CQ47" s="29">
        <f>IFERROR((SUM(CQ6:CQ12)+SUM(CQ14:CQ21)+SUM(CQ23:CQ26)+SUM(CQ28:CQ34)+SUM(CQ36:CQ43))/(SUMPRODUCT(($F$6:$F$12)*(CP6:CP12&lt;&gt;"")*(CP6:CP12&lt;&gt;"NE"))*$F$5+SUMPRODUCT(($F$14:$F$21)*(CP14:CP21&lt;&gt;"")*(CP14:CP21&lt;&gt;"NE"))*$F$13+SUMPRODUCT(($F$23:$F$26)*(CP23:CP26&lt;&gt;"")*(CP23:CP26&lt;&gt;"NE"))*$F$22+SUMPRODUCT(($F$28:$F$34)*(CP28:CP34&lt;&gt;"")*(CP28:CP34&lt;&gt;"NE"))*$F$27+SUMPRODUCT(($F$36:$F$43)*(CP36:CP43&lt;&gt;"")*(CP36:CP43&lt;&gt;"NE"))*$F$35),"")</f>
        <v/>
      </c>
    </row>
    <row r="48">
      <c r="E48" s="28" t="inlineStr">
        <is>
          <t>NOTE FINALE / 12</t>
        </is>
      </c>
      <c r="H48" s="30">
        <f>IF(H47="","",H47*12/20)</f>
        <v/>
      </c>
      <c r="K48" s="30">
        <f>IF(K47="","",K47*12/20)</f>
        <v/>
      </c>
      <c r="N48" s="30">
        <f>IF(N47="","",N47*12/20)</f>
        <v/>
      </c>
      <c r="Q48" s="30">
        <f>IF(Q47="","",Q47*12/20)</f>
        <v/>
      </c>
      <c r="T48" s="30">
        <f>IF(T47="","",T47*12/20)</f>
        <v/>
      </c>
      <c r="W48" s="30">
        <f>IF(W47="","",W47*12/20)</f>
        <v/>
      </c>
      <c r="Z48" s="30">
        <f>IF(Z47="","",Z47*12/20)</f>
        <v/>
      </c>
      <c r="AC48" s="30">
        <f>IF(AC47="","",AC47*12/20)</f>
        <v/>
      </c>
      <c r="AF48" s="30">
        <f>IF(AF47="","",AF47*12/20)</f>
        <v/>
      </c>
      <c r="AI48" s="30">
        <f>IF(AI47="","",AI47*12/20)</f>
        <v/>
      </c>
      <c r="AL48" s="30">
        <f>IF(AL47="","",AL47*12/20)</f>
        <v/>
      </c>
      <c r="AO48" s="30">
        <f>IF(AO47="","",AO47*12/20)</f>
        <v/>
      </c>
      <c r="AR48" s="30">
        <f>IF(AR47="","",AR47*12/20)</f>
        <v/>
      </c>
      <c r="AU48" s="30">
        <f>IF(AU47="","",AU47*12/20)</f>
        <v/>
      </c>
      <c r="AX48" s="30">
        <f>IF(AX47="","",AX47*12/20)</f>
        <v/>
      </c>
      <c r="BA48" s="30">
        <f>IF(BA47="","",BA47*12/20)</f>
        <v/>
      </c>
      <c r="BD48" s="30">
        <f>IF(BD47="","",BD47*12/20)</f>
        <v/>
      </c>
      <c r="BG48" s="30">
        <f>IF(BG47="","",BG47*12/20)</f>
        <v/>
      </c>
      <c r="BJ48" s="30">
        <f>IF(BJ47="","",BJ47*12/20)</f>
        <v/>
      </c>
      <c r="BM48" s="30">
        <f>IF(BM47="","",BM47*12/20)</f>
        <v/>
      </c>
      <c r="BP48" s="30">
        <f>IF(BP47="","",BP47*12/20)</f>
        <v/>
      </c>
      <c r="BS48" s="30">
        <f>IF(BS47="","",BS47*12/20)</f>
        <v/>
      </c>
      <c r="BV48" s="30">
        <f>IF(BV47="","",BV47*12/20)</f>
        <v/>
      </c>
      <c r="BY48" s="30">
        <f>IF(BY47="","",BY47*12/20)</f>
        <v/>
      </c>
      <c r="CB48" s="30">
        <f>IF(CB47="","",CB47*12/20)</f>
        <v/>
      </c>
      <c r="CE48" s="30">
        <f>IF(CE47="","",CE47*12/20)</f>
        <v/>
      </c>
      <c r="CH48" s="30">
        <f>IF(CH47="","",CH47*12/20)</f>
        <v/>
      </c>
      <c r="CK48" s="30">
        <f>IF(CK47="","",CK47*12/20)</f>
        <v/>
      </c>
      <c r="CN48" s="30">
        <f>IF(CN47="","",CN47*12/20)</f>
        <v/>
      </c>
      <c r="CQ48" s="30">
        <f>IF(CQ47="","",CQ47*12/20)</f>
        <v/>
      </c>
    </row>
    <row r="50">
      <c r="E50" s="26" t="inlineStr">
        <is>
          <t>% acquis (saisies = '2')</t>
        </is>
      </c>
      <c r="F50" s="31">
        <f>IFERROR((COUNTIF(G5:G43,"2")+COUNTIF(J5:J43,"2")+COUNTIF(M5:M43,"2")+COUNTIF(P5:P43,"2")+COUNTIF(S5:S43,"2")+COUNTIF(V5:V43,"2")+COUNTIF(Y5:Y43,"2")+COUNTIF(AB5:AB43,"2")+COUNTIF(AE5:AE43,"2")+COUNTIF(AH5:AH43,"2")+COUNTIF(AK5:AK43,"2")+COUNTIF(AN5:AN43,"2")+COUNTIF(AQ5:AQ43,"2")+COUNTIF(AT5:AT43,"2")+COUNTIF(AW5:AW43,"2")+COUNTIF(AZ5:AZ43,"2")+COUNTIF(BC5:BC43,"2")+COUNTIF(BF5:BF43,"2")+COUNTIF(BI5:BI43,"2")+COUNTIF(BL5:BL43,"2")+COUNTIF(BO5:BO43,"2")+COUNTIF(BR5:BR43,"2")+COUNTIF(BU5:BU43,"2")+COUNTIF(BX5:BX43,"2")+COUNTIF(CA5:CA43,"2")+COUNTIF(CD5:CD43,"2")+COUNTIF(CG5:CG43,"2")+COUNTIF(CJ5:CJ43,"2")+COUNTIF(CM5:CM43,"2")+COUNTIF(CP5:CP43,"2"))/((COUNTA(G5:G43)-COUNTIF(G5:G43,"NE"))+(COUNTA(J5:J43)-COUNTIF(J5:J43,"NE"))+(COUNTA(M5:M43)-COUNTIF(M5:M43,"NE"))+(COUNTA(P5:P43)-COUNTIF(P5:P43,"NE"))+(COUNTA(S5:S43)-COUNTIF(S5:S43,"NE"))+(COUNTA(V5:V43)-COUNTIF(V5:V43,"NE"))+(COUNTA(Y5:Y43)-COUNTIF(Y5:Y43,"NE"))+(COUNTA(AB5:AB43)-COUNTIF(AB5:AB43,"NE"))+(COUNTA(AE5:AE43)-COUNTIF(AE5:AE43,"NE"))+(COUNTA(AH5:AH43)-COUNTIF(AH5:AH43,"NE"))+(COUNTA(AK5:AK43)-COUNTIF(AK5:AK43,"NE"))+(COUNTA(AN5:AN43)-COUNTIF(AN5:AN43,"NE"))+(COUNTA(AQ5:AQ43)-COUNTIF(AQ5:AQ43,"NE"))+(COUNTA(AT5:AT43)-COUNTIF(AT5:AT43,"NE"))+(COUNTA(AW5:AW43)-COUNTIF(AW5:AW43,"NE"))+(COUNTA(AZ5:AZ43)-COUNTIF(AZ5:AZ43,"NE"))+(COUNTA(BC5:BC43)-COUNTIF(BC5:BC43,"NE"))+(COUNTA(BF5:BF43)-COUNTIF(BF5:BF43,"NE"))+(COUNTA(BI5:BI43)-COUNTIF(BI5:BI43,"NE"))+(COUNTA(BL5:BL43)-COUNTIF(BL5:BL43,"NE"))+(COUNTA(BO5:BO43)-COUNTIF(BO5:BO43,"NE"))+(COUNTA(BR5:BR43)-COUNTIF(BR5:BR43,"NE"))+(COUNTA(BU5:BU43)-COUNTIF(BU5:BU43,"NE"))+(COUNTA(BX5:BX43)-COUNTIF(BX5:BX43,"NE"))+(COUNTA(CA5:CA43)-COUNTIF(CA5:CA43,"NE"))+(COUNTA(CD5:CD43)-COUNTIF(CD5:CD43,"NE"))+(COUNTA(CG5:CG43)-COUNTIF(CG5:CG43,"NE"))+(COUNTA(CJ5:CJ43)-COUNTIF(CJ5:CJ43,"NE"))+(COUNTA(CM5:CM43)-COUNTIF(CM5:CM43,"NE"))+(COUNTA(CP5:CP43)-COUNTIF(CP5:CP43,"NE"))),"")</f>
        <v/>
      </c>
    </row>
    <row r="51">
      <c r="E51" s="26" t="inlineStr">
        <is>
          <t>Moyenne classe (note brute pondérée)</t>
        </is>
      </c>
      <c r="F51" s="32">
        <f>IFERROR(AVERAGE(H47,K47,N47,Q47,T47,W47,Z47,AC47,AF47,AI47,AL47,AO47,AR47,AU47,AX47,BA47,BD47,BG47,BJ47,BM47,BP47,BS47,BV47,BY47,CB47,CE47,CH47,CK47,CN47,CQ47),"")</f>
        <v/>
      </c>
    </row>
  </sheetData>
  <sheetProtection selectLockedCells="0" selectUnlockedCells="0" sheet="1" objects="0" insertRows="1" insertHyperlinks="1" autoFilter="1" scenarios="0" formatColumns="0" deleteColumns="1" insertColumns="1" pivotTables="1" deleteRows="1" formatCells="0" formatRows="0" sort="1"/>
  <mergeCells count="38">
    <mergeCell ref="AW3:AY3"/>
    <mergeCell ref="CG3:CI3"/>
    <mergeCell ref="BR3:BT3"/>
    <mergeCell ref="B3:B4"/>
    <mergeCell ref="F3:F4"/>
    <mergeCell ref="G3:I3"/>
    <mergeCell ref="BC3:BE3"/>
    <mergeCell ref="BI3:BK3"/>
    <mergeCell ref="BO3:BQ3"/>
    <mergeCell ref="CP3:CR3"/>
    <mergeCell ref="A3:A4"/>
    <mergeCell ref="A1:CR1"/>
    <mergeCell ref="M3:O3"/>
    <mergeCell ref="D3:D4"/>
    <mergeCell ref="AZ3:BB3"/>
    <mergeCell ref="J3:L3"/>
    <mergeCell ref="P3:R3"/>
    <mergeCell ref="CA3:CC3"/>
    <mergeCell ref="CM3:CO3"/>
    <mergeCell ref="BL3:BN3"/>
    <mergeCell ref="CD3:CF3"/>
    <mergeCell ref="BX3:BZ3"/>
    <mergeCell ref="AB3:AD3"/>
    <mergeCell ref="V3:X3"/>
    <mergeCell ref="AH3:AJ3"/>
    <mergeCell ref="AN3:AP3"/>
    <mergeCell ref="Y3:AA3"/>
    <mergeCell ref="CJ3:CL3"/>
    <mergeCell ref="A2:CR2"/>
    <mergeCell ref="BU3:BW3"/>
    <mergeCell ref="C3:C4"/>
    <mergeCell ref="E3:E4"/>
    <mergeCell ref="AT3:AV3"/>
    <mergeCell ref="S3:U3"/>
    <mergeCell ref="AE3:AG3"/>
    <mergeCell ref="AK3:AM3"/>
    <mergeCell ref="BF3:BH3"/>
    <mergeCell ref="AQ3:AS3"/>
  </mergeCells>
  <conditionalFormatting sqref="G5:G43">
    <cfRule type="cellIs" priority="1" operator="equal" dxfId="3">
      <formula>"2"</formula>
    </cfRule>
    <cfRule type="cellIs" priority="2" operator="equal" dxfId="4">
      <formula>"0"</formula>
    </cfRule>
    <cfRule type="cellIs" priority="3" operator="equal" dxfId="5">
      <formula>"NE"</formula>
    </cfRule>
  </conditionalFormatting>
  <conditionalFormatting sqref="H47">
    <cfRule type="cellIs" priority="4" operator="lessThan" dxfId="1">
      <formula>10</formula>
    </cfRule>
    <cfRule type="cellIs" priority="5" operator="greaterThanOrEqual" dxfId="2">
      <formula>14</formula>
    </cfRule>
  </conditionalFormatting>
  <conditionalFormatting sqref="J5:J43">
    <cfRule type="cellIs" priority="6" operator="equal" dxfId="3">
      <formula>"2"</formula>
    </cfRule>
    <cfRule type="cellIs" priority="7" operator="equal" dxfId="4">
      <formula>"0"</formula>
    </cfRule>
    <cfRule type="cellIs" priority="8" operator="equal" dxfId="5">
      <formula>"NE"</formula>
    </cfRule>
  </conditionalFormatting>
  <conditionalFormatting sqref="K47">
    <cfRule type="cellIs" priority="9" operator="lessThan" dxfId="1">
      <formula>10</formula>
    </cfRule>
    <cfRule type="cellIs" priority="10" operator="greaterThanOrEqual" dxfId="2">
      <formula>14</formula>
    </cfRule>
  </conditionalFormatting>
  <conditionalFormatting sqref="M5:M43">
    <cfRule type="cellIs" priority="11" operator="equal" dxfId="3">
      <formula>"2"</formula>
    </cfRule>
    <cfRule type="cellIs" priority="12" operator="equal" dxfId="4">
      <formula>"0"</formula>
    </cfRule>
    <cfRule type="cellIs" priority="13" operator="equal" dxfId="5">
      <formula>"NE"</formula>
    </cfRule>
  </conditionalFormatting>
  <conditionalFormatting sqref="N47">
    <cfRule type="cellIs" priority="14" operator="lessThan" dxfId="1">
      <formula>10</formula>
    </cfRule>
    <cfRule type="cellIs" priority="15" operator="greaterThanOrEqual" dxfId="2">
      <formula>14</formula>
    </cfRule>
  </conditionalFormatting>
  <conditionalFormatting sqref="P5:P43">
    <cfRule type="cellIs" priority="16" operator="equal" dxfId="3">
      <formula>"2"</formula>
    </cfRule>
    <cfRule type="cellIs" priority="17" operator="equal" dxfId="4">
      <formula>"0"</formula>
    </cfRule>
    <cfRule type="cellIs" priority="18" operator="equal" dxfId="5">
      <formula>"NE"</formula>
    </cfRule>
  </conditionalFormatting>
  <conditionalFormatting sqref="Q47">
    <cfRule type="cellIs" priority="19" operator="lessThan" dxfId="1">
      <formula>10</formula>
    </cfRule>
    <cfRule type="cellIs" priority="20" operator="greaterThanOrEqual" dxfId="2">
      <formula>14</formula>
    </cfRule>
  </conditionalFormatting>
  <conditionalFormatting sqref="S5:S43">
    <cfRule type="cellIs" priority="21" operator="equal" dxfId="3">
      <formula>"2"</formula>
    </cfRule>
    <cfRule type="cellIs" priority="22" operator="equal" dxfId="4">
      <formula>"0"</formula>
    </cfRule>
    <cfRule type="cellIs" priority="23" operator="equal" dxfId="5">
      <formula>"NE"</formula>
    </cfRule>
  </conditionalFormatting>
  <conditionalFormatting sqref="T47">
    <cfRule type="cellIs" priority="24" operator="lessThan" dxfId="1">
      <formula>10</formula>
    </cfRule>
    <cfRule type="cellIs" priority="25" operator="greaterThanOrEqual" dxfId="2">
      <formula>14</formula>
    </cfRule>
  </conditionalFormatting>
  <conditionalFormatting sqref="V5:V43">
    <cfRule type="cellIs" priority="26" operator="equal" dxfId="3">
      <formula>"2"</formula>
    </cfRule>
    <cfRule type="cellIs" priority="27" operator="equal" dxfId="4">
      <formula>"0"</formula>
    </cfRule>
    <cfRule type="cellIs" priority="28" operator="equal" dxfId="5">
      <formula>"NE"</formula>
    </cfRule>
  </conditionalFormatting>
  <conditionalFormatting sqref="W47">
    <cfRule type="cellIs" priority="29" operator="lessThan" dxfId="1">
      <formula>10</formula>
    </cfRule>
    <cfRule type="cellIs" priority="30" operator="greaterThanOrEqual" dxfId="2">
      <formula>14</formula>
    </cfRule>
  </conditionalFormatting>
  <conditionalFormatting sqref="Y5:Y43">
    <cfRule type="cellIs" priority="31" operator="equal" dxfId="3">
      <formula>"2"</formula>
    </cfRule>
    <cfRule type="cellIs" priority="32" operator="equal" dxfId="4">
      <formula>"0"</formula>
    </cfRule>
    <cfRule type="cellIs" priority="33" operator="equal" dxfId="5">
      <formula>"NE"</formula>
    </cfRule>
  </conditionalFormatting>
  <conditionalFormatting sqref="Z47">
    <cfRule type="cellIs" priority="34" operator="lessThan" dxfId="1">
      <formula>10</formula>
    </cfRule>
    <cfRule type="cellIs" priority="35" operator="greaterThanOrEqual" dxfId="2">
      <formula>14</formula>
    </cfRule>
  </conditionalFormatting>
  <conditionalFormatting sqref="AB5:AB43">
    <cfRule type="cellIs" priority="36" operator="equal" dxfId="3">
      <formula>"2"</formula>
    </cfRule>
    <cfRule type="cellIs" priority="37" operator="equal" dxfId="4">
      <formula>"0"</formula>
    </cfRule>
    <cfRule type="cellIs" priority="38" operator="equal" dxfId="5">
      <formula>"NE"</formula>
    </cfRule>
  </conditionalFormatting>
  <conditionalFormatting sqref="AC47">
    <cfRule type="cellIs" priority="39" operator="lessThan" dxfId="1">
      <formula>10</formula>
    </cfRule>
    <cfRule type="cellIs" priority="40" operator="greaterThanOrEqual" dxfId="2">
      <formula>14</formula>
    </cfRule>
  </conditionalFormatting>
  <conditionalFormatting sqref="AE5:AE43">
    <cfRule type="cellIs" priority="41" operator="equal" dxfId="3">
      <formula>"2"</formula>
    </cfRule>
    <cfRule type="cellIs" priority="42" operator="equal" dxfId="4">
      <formula>"0"</formula>
    </cfRule>
    <cfRule type="cellIs" priority="43" operator="equal" dxfId="5">
      <formula>"NE"</formula>
    </cfRule>
  </conditionalFormatting>
  <conditionalFormatting sqref="AF47">
    <cfRule type="cellIs" priority="44" operator="lessThan" dxfId="1">
      <formula>10</formula>
    </cfRule>
    <cfRule type="cellIs" priority="45" operator="greaterThanOrEqual" dxfId="2">
      <formula>14</formula>
    </cfRule>
  </conditionalFormatting>
  <conditionalFormatting sqref="AH5:AH43">
    <cfRule type="cellIs" priority="46" operator="equal" dxfId="3">
      <formula>"2"</formula>
    </cfRule>
    <cfRule type="cellIs" priority="47" operator="equal" dxfId="4">
      <formula>"0"</formula>
    </cfRule>
    <cfRule type="cellIs" priority="48" operator="equal" dxfId="5">
      <formula>"NE"</formula>
    </cfRule>
  </conditionalFormatting>
  <conditionalFormatting sqref="AI47">
    <cfRule type="cellIs" priority="49" operator="lessThan" dxfId="1">
      <formula>10</formula>
    </cfRule>
    <cfRule type="cellIs" priority="50" operator="greaterThanOrEqual" dxfId="2">
      <formula>14</formula>
    </cfRule>
  </conditionalFormatting>
  <conditionalFormatting sqref="AK5:AK43">
    <cfRule type="cellIs" priority="51" operator="equal" dxfId="3">
      <formula>"2"</formula>
    </cfRule>
    <cfRule type="cellIs" priority="52" operator="equal" dxfId="4">
      <formula>"0"</formula>
    </cfRule>
    <cfRule type="cellIs" priority="53" operator="equal" dxfId="5">
      <formula>"NE"</formula>
    </cfRule>
  </conditionalFormatting>
  <conditionalFormatting sqref="AL47">
    <cfRule type="cellIs" priority="54" operator="lessThan" dxfId="1">
      <formula>10</formula>
    </cfRule>
    <cfRule type="cellIs" priority="55" operator="greaterThanOrEqual" dxfId="2">
      <formula>14</formula>
    </cfRule>
  </conditionalFormatting>
  <conditionalFormatting sqref="AN5:AN43">
    <cfRule type="cellIs" priority="56" operator="equal" dxfId="3">
      <formula>"2"</formula>
    </cfRule>
    <cfRule type="cellIs" priority="57" operator="equal" dxfId="4">
      <formula>"0"</formula>
    </cfRule>
    <cfRule type="cellIs" priority="58" operator="equal" dxfId="5">
      <formula>"NE"</formula>
    </cfRule>
  </conditionalFormatting>
  <conditionalFormatting sqref="AO47">
    <cfRule type="cellIs" priority="59" operator="lessThan" dxfId="1">
      <formula>10</formula>
    </cfRule>
    <cfRule type="cellIs" priority="60" operator="greaterThanOrEqual" dxfId="2">
      <formula>14</formula>
    </cfRule>
  </conditionalFormatting>
  <conditionalFormatting sqref="AQ5:AQ43">
    <cfRule type="cellIs" priority="61" operator="equal" dxfId="3">
      <formula>"2"</formula>
    </cfRule>
    <cfRule type="cellIs" priority="62" operator="equal" dxfId="4">
      <formula>"0"</formula>
    </cfRule>
    <cfRule type="cellIs" priority="63" operator="equal" dxfId="5">
      <formula>"NE"</formula>
    </cfRule>
  </conditionalFormatting>
  <conditionalFormatting sqref="AR47">
    <cfRule type="cellIs" priority="64" operator="lessThan" dxfId="1">
      <formula>10</formula>
    </cfRule>
    <cfRule type="cellIs" priority="65" operator="greaterThanOrEqual" dxfId="2">
      <formula>14</formula>
    </cfRule>
  </conditionalFormatting>
  <conditionalFormatting sqref="AT5:AT43">
    <cfRule type="cellIs" priority="66" operator="equal" dxfId="3">
      <formula>"2"</formula>
    </cfRule>
    <cfRule type="cellIs" priority="67" operator="equal" dxfId="4">
      <formula>"0"</formula>
    </cfRule>
    <cfRule type="cellIs" priority="68" operator="equal" dxfId="5">
      <formula>"NE"</formula>
    </cfRule>
  </conditionalFormatting>
  <conditionalFormatting sqref="AU47">
    <cfRule type="cellIs" priority="69" operator="lessThan" dxfId="1">
      <formula>10</formula>
    </cfRule>
    <cfRule type="cellIs" priority="70" operator="greaterThanOrEqual" dxfId="2">
      <formula>14</formula>
    </cfRule>
  </conditionalFormatting>
  <conditionalFormatting sqref="AW5:AW43">
    <cfRule type="cellIs" priority="71" operator="equal" dxfId="3">
      <formula>"2"</formula>
    </cfRule>
    <cfRule type="cellIs" priority="72" operator="equal" dxfId="4">
      <formula>"0"</formula>
    </cfRule>
    <cfRule type="cellIs" priority="73" operator="equal" dxfId="5">
      <formula>"NE"</formula>
    </cfRule>
  </conditionalFormatting>
  <conditionalFormatting sqref="AX47">
    <cfRule type="cellIs" priority="74" operator="lessThan" dxfId="1">
      <formula>10</formula>
    </cfRule>
    <cfRule type="cellIs" priority="75" operator="greaterThanOrEqual" dxfId="2">
      <formula>14</formula>
    </cfRule>
  </conditionalFormatting>
  <conditionalFormatting sqref="AZ5:AZ43">
    <cfRule type="cellIs" priority="76" operator="equal" dxfId="3">
      <formula>"2"</formula>
    </cfRule>
    <cfRule type="cellIs" priority="77" operator="equal" dxfId="4">
      <formula>"0"</formula>
    </cfRule>
    <cfRule type="cellIs" priority="78" operator="equal" dxfId="5">
      <formula>"NE"</formula>
    </cfRule>
  </conditionalFormatting>
  <conditionalFormatting sqref="BA47">
    <cfRule type="cellIs" priority="79" operator="lessThan" dxfId="1">
      <formula>10</formula>
    </cfRule>
    <cfRule type="cellIs" priority="80" operator="greaterThanOrEqual" dxfId="2">
      <formula>14</formula>
    </cfRule>
  </conditionalFormatting>
  <conditionalFormatting sqref="BC5:BC43">
    <cfRule type="cellIs" priority="81" operator="equal" dxfId="3">
      <formula>"2"</formula>
    </cfRule>
    <cfRule type="cellIs" priority="82" operator="equal" dxfId="4">
      <formula>"0"</formula>
    </cfRule>
    <cfRule type="cellIs" priority="83" operator="equal" dxfId="5">
      <formula>"NE"</formula>
    </cfRule>
  </conditionalFormatting>
  <conditionalFormatting sqref="BD47">
    <cfRule type="cellIs" priority="84" operator="lessThan" dxfId="1">
      <formula>10</formula>
    </cfRule>
    <cfRule type="cellIs" priority="85" operator="greaterThanOrEqual" dxfId="2">
      <formula>14</formula>
    </cfRule>
  </conditionalFormatting>
  <conditionalFormatting sqref="BF5:BF43">
    <cfRule type="cellIs" priority="86" operator="equal" dxfId="3">
      <formula>"2"</formula>
    </cfRule>
    <cfRule type="cellIs" priority="87" operator="equal" dxfId="4">
      <formula>"0"</formula>
    </cfRule>
    <cfRule type="cellIs" priority="88" operator="equal" dxfId="5">
      <formula>"NE"</formula>
    </cfRule>
  </conditionalFormatting>
  <conditionalFormatting sqref="BG47">
    <cfRule type="cellIs" priority="89" operator="lessThan" dxfId="1">
      <formula>10</formula>
    </cfRule>
    <cfRule type="cellIs" priority="90" operator="greaterThanOrEqual" dxfId="2">
      <formula>14</formula>
    </cfRule>
  </conditionalFormatting>
  <conditionalFormatting sqref="BI5:BI43">
    <cfRule type="cellIs" priority="91" operator="equal" dxfId="3">
      <formula>"2"</formula>
    </cfRule>
    <cfRule type="cellIs" priority="92" operator="equal" dxfId="4">
      <formula>"0"</formula>
    </cfRule>
    <cfRule type="cellIs" priority="93" operator="equal" dxfId="5">
      <formula>"NE"</formula>
    </cfRule>
  </conditionalFormatting>
  <conditionalFormatting sqref="BJ47">
    <cfRule type="cellIs" priority="94" operator="lessThan" dxfId="1">
      <formula>10</formula>
    </cfRule>
    <cfRule type="cellIs" priority="95" operator="greaterThanOrEqual" dxfId="2">
      <formula>14</formula>
    </cfRule>
  </conditionalFormatting>
  <conditionalFormatting sqref="BL5:BL43">
    <cfRule type="cellIs" priority="96" operator="equal" dxfId="3">
      <formula>"2"</formula>
    </cfRule>
    <cfRule type="cellIs" priority="97" operator="equal" dxfId="4">
      <formula>"0"</formula>
    </cfRule>
    <cfRule type="cellIs" priority="98" operator="equal" dxfId="5">
      <formula>"NE"</formula>
    </cfRule>
  </conditionalFormatting>
  <conditionalFormatting sqref="BM47">
    <cfRule type="cellIs" priority="99" operator="lessThan" dxfId="1">
      <formula>10</formula>
    </cfRule>
    <cfRule type="cellIs" priority="100" operator="greaterThanOrEqual" dxfId="2">
      <formula>14</formula>
    </cfRule>
  </conditionalFormatting>
  <conditionalFormatting sqref="BO5:BO43">
    <cfRule type="cellIs" priority="101" operator="equal" dxfId="3">
      <formula>"2"</formula>
    </cfRule>
    <cfRule type="cellIs" priority="102" operator="equal" dxfId="4">
      <formula>"0"</formula>
    </cfRule>
    <cfRule type="cellIs" priority="103" operator="equal" dxfId="5">
      <formula>"NE"</formula>
    </cfRule>
  </conditionalFormatting>
  <conditionalFormatting sqref="BP47">
    <cfRule type="cellIs" priority="104" operator="lessThan" dxfId="1">
      <formula>10</formula>
    </cfRule>
    <cfRule type="cellIs" priority="105" operator="greaterThanOrEqual" dxfId="2">
      <formula>14</formula>
    </cfRule>
  </conditionalFormatting>
  <conditionalFormatting sqref="BR5:BR43">
    <cfRule type="cellIs" priority="106" operator="equal" dxfId="3">
      <formula>"2"</formula>
    </cfRule>
    <cfRule type="cellIs" priority="107" operator="equal" dxfId="4">
      <formula>"0"</formula>
    </cfRule>
    <cfRule type="cellIs" priority="108" operator="equal" dxfId="5">
      <formula>"NE"</formula>
    </cfRule>
  </conditionalFormatting>
  <conditionalFormatting sqref="BS47">
    <cfRule type="cellIs" priority="109" operator="lessThan" dxfId="1">
      <formula>10</formula>
    </cfRule>
    <cfRule type="cellIs" priority="110" operator="greaterThanOrEqual" dxfId="2">
      <formula>14</formula>
    </cfRule>
  </conditionalFormatting>
  <conditionalFormatting sqref="BU5:BU43">
    <cfRule type="cellIs" priority="111" operator="equal" dxfId="3">
      <formula>"2"</formula>
    </cfRule>
    <cfRule type="cellIs" priority="112" operator="equal" dxfId="4">
      <formula>"0"</formula>
    </cfRule>
    <cfRule type="cellIs" priority="113" operator="equal" dxfId="5">
      <formula>"NE"</formula>
    </cfRule>
  </conditionalFormatting>
  <conditionalFormatting sqref="BV47">
    <cfRule type="cellIs" priority="114" operator="lessThan" dxfId="1">
      <formula>10</formula>
    </cfRule>
    <cfRule type="cellIs" priority="115" operator="greaterThanOrEqual" dxfId="2">
      <formula>14</formula>
    </cfRule>
  </conditionalFormatting>
  <conditionalFormatting sqref="BX5:BX43">
    <cfRule type="cellIs" priority="116" operator="equal" dxfId="3">
      <formula>"2"</formula>
    </cfRule>
    <cfRule type="cellIs" priority="117" operator="equal" dxfId="4">
      <formula>"0"</formula>
    </cfRule>
    <cfRule type="cellIs" priority="118" operator="equal" dxfId="5">
      <formula>"NE"</formula>
    </cfRule>
  </conditionalFormatting>
  <conditionalFormatting sqref="BY47">
    <cfRule type="cellIs" priority="119" operator="lessThan" dxfId="1">
      <formula>10</formula>
    </cfRule>
    <cfRule type="cellIs" priority="120" operator="greaterThanOrEqual" dxfId="2">
      <formula>14</formula>
    </cfRule>
  </conditionalFormatting>
  <conditionalFormatting sqref="CA5:CA43">
    <cfRule type="cellIs" priority="121" operator="equal" dxfId="3">
      <formula>"2"</formula>
    </cfRule>
    <cfRule type="cellIs" priority="122" operator="equal" dxfId="4">
      <formula>"0"</formula>
    </cfRule>
    <cfRule type="cellIs" priority="123" operator="equal" dxfId="5">
      <formula>"NE"</formula>
    </cfRule>
  </conditionalFormatting>
  <conditionalFormatting sqref="CB47">
    <cfRule type="cellIs" priority="124" operator="lessThan" dxfId="1">
      <formula>10</formula>
    </cfRule>
    <cfRule type="cellIs" priority="125" operator="greaterThanOrEqual" dxfId="2">
      <formula>14</formula>
    </cfRule>
  </conditionalFormatting>
  <conditionalFormatting sqref="CD5:CD43">
    <cfRule type="cellIs" priority="126" operator="equal" dxfId="3">
      <formula>"2"</formula>
    </cfRule>
    <cfRule type="cellIs" priority="127" operator="equal" dxfId="4">
      <formula>"0"</formula>
    </cfRule>
    <cfRule type="cellIs" priority="128" operator="equal" dxfId="5">
      <formula>"NE"</formula>
    </cfRule>
  </conditionalFormatting>
  <conditionalFormatting sqref="CE47">
    <cfRule type="cellIs" priority="129" operator="lessThan" dxfId="1">
      <formula>10</formula>
    </cfRule>
    <cfRule type="cellIs" priority="130" operator="greaterThanOrEqual" dxfId="2">
      <formula>14</formula>
    </cfRule>
  </conditionalFormatting>
  <conditionalFormatting sqref="CG5:CG43">
    <cfRule type="cellIs" priority="131" operator="equal" dxfId="3">
      <formula>"2"</formula>
    </cfRule>
    <cfRule type="cellIs" priority="132" operator="equal" dxfId="4">
      <formula>"0"</formula>
    </cfRule>
    <cfRule type="cellIs" priority="133" operator="equal" dxfId="5">
      <formula>"NE"</formula>
    </cfRule>
  </conditionalFormatting>
  <conditionalFormatting sqref="CH47">
    <cfRule type="cellIs" priority="134" operator="lessThan" dxfId="1">
      <formula>10</formula>
    </cfRule>
    <cfRule type="cellIs" priority="135" operator="greaterThanOrEqual" dxfId="2">
      <formula>14</formula>
    </cfRule>
  </conditionalFormatting>
  <conditionalFormatting sqref="CJ5:CJ43">
    <cfRule type="cellIs" priority="136" operator="equal" dxfId="3">
      <formula>"2"</formula>
    </cfRule>
    <cfRule type="cellIs" priority="137" operator="equal" dxfId="4">
      <formula>"0"</formula>
    </cfRule>
    <cfRule type="cellIs" priority="138" operator="equal" dxfId="5">
      <formula>"NE"</formula>
    </cfRule>
  </conditionalFormatting>
  <conditionalFormatting sqref="CK47">
    <cfRule type="cellIs" priority="139" operator="lessThan" dxfId="1">
      <formula>10</formula>
    </cfRule>
    <cfRule type="cellIs" priority="140" operator="greaterThanOrEqual" dxfId="2">
      <formula>14</formula>
    </cfRule>
  </conditionalFormatting>
  <conditionalFormatting sqref="CM5:CM43">
    <cfRule type="cellIs" priority="141" operator="equal" dxfId="3">
      <formula>"2"</formula>
    </cfRule>
    <cfRule type="cellIs" priority="142" operator="equal" dxfId="4">
      <formula>"0"</formula>
    </cfRule>
    <cfRule type="cellIs" priority="143" operator="equal" dxfId="5">
      <formula>"NE"</formula>
    </cfRule>
  </conditionalFormatting>
  <conditionalFormatting sqref="CN47">
    <cfRule type="cellIs" priority="144" operator="lessThan" dxfId="1">
      <formula>10</formula>
    </cfRule>
    <cfRule type="cellIs" priority="145" operator="greaterThanOrEqual" dxfId="2">
      <formula>14</formula>
    </cfRule>
  </conditionalFormatting>
  <conditionalFormatting sqref="CP5:CP43">
    <cfRule type="cellIs" priority="146" operator="equal" dxfId="3">
      <formula>"2"</formula>
    </cfRule>
    <cfRule type="cellIs" priority="147" operator="equal" dxfId="4">
      <formula>"0"</formula>
    </cfRule>
    <cfRule type="cellIs" priority="148" operator="equal" dxfId="5">
      <formula>"NE"</formula>
    </cfRule>
  </conditionalFormatting>
  <conditionalFormatting sqref="CQ47">
    <cfRule type="cellIs" priority="149" operator="lessThan" dxfId="1">
      <formula>10</formula>
    </cfRule>
    <cfRule type="cellIs" priority="150" operator="greaterThanOrEqual" dxfId="2">
      <formula>14</formula>
    </cfRule>
  </conditionalFormatting>
  <conditionalFormatting sqref="F45">
    <cfRule type="expression" priority="151" dxfId="6">
      <formula>ABS($F$45-5)&gt;0.001</formula>
    </cfRule>
  </conditionalFormatting>
  <conditionalFormatting sqref="H47:CQ47">
    <cfRule type="dataBar" priority="152">
      <dataBar showValue="1">
        <cfvo type="num" val="0"/>
        <cfvo type="num" val="20"/>
        <color rgb="0063BE7B"/>
      </dataBar>
    </cfRule>
  </conditionalFormatting>
  <dataValidations count="1">
    <dataValidation sqref="G6 G7 G8 G9 G10 G11 G12 G14 G15 G16 G17 G18 G19 G20 G21 G23 G24 G25 G26 G28 G29 G30 G31 G32 G33 G34 G36 G37 G38 G39 G40 G41 G42 G43 J6 J7 J8 J9 J10 J11 J12 J14 J15 J16 J17 J18 J19 J20 J21 J23 J24 J25 J26 J28 J29 J30 J31 J32 J33 J34 J36 J37 J38 J39 J40 J41 J42 J43 M6 M7 M8 M9 M10 M11 M12 M14 M15 M16 M17 M18 M19 M20 M21 M23 M24 M25 M26 M28 M29 M30 M31 M32 M33 M34 M36 M37 M38 M39 M40 M41 M42 M43 P6 P7 P8 P9 P10 P11 P12 P14 P15 P16 P17 P18 P19 P20 P21 P23 P24 P25 P26 P28 P29 P30 P31 P32 P33 P34 P36 P37 P38 P39 P40 P41 P42 P43 S6 S7 S8 S9 S10 S11 S12 S14 S15 S16 S17 S18 S19 S20 S21 S23 S24 S25 S26 S28 S29 S30 S31 S32 S33 S34 S36 S37 S38 S39 S40 S41 S42 S43 V6 V7 V8 V9 V10 V11 V12 V14 V15 V16 V17 V18 V19 V20 V21 V23 V24 V25 V26 V28 V29 V30 V31 V32 V33 V34 V36 V37 V38 V39 V40 V41 V42 V43 Y6 Y7 Y8 Y9 Y10 Y11 Y12 Y14 Y15 Y16 Y17 Y18 Y19 Y20 Y21 Y23 Y24 Y25 Y26 Y28 Y29 Y30 Y31 Y32 Y33 Y34 Y36 Y37 Y38 Y39 Y40 Y41 Y42 Y43 AB6 AB7 AB8 AB9 AB10 AB11 AB12 AB14 AB15 AB16 AB17 AB18 AB19 AB20 AB21 AB23 AB24 AB25 AB26 AB28 AB29 AB30 AB31 AB32 AB33 AB34 AB36 AB37 AB38 AB39 AB40 AB41 AB42 AB43 AE6 AE7 AE8 AE9 AE10 AE11 AE12 AE14 AE15 AE16 AE17 AE18 AE19 AE20 AE21 AE23 AE24 AE25 AE26 AE28 AE29 AE30 AE31 AE32 AE33 AE34 AE36 AE37 AE38 AE39 AE40 AE41 AE42 AE43 AH6 AH7 AH8 AH9 AH10 AH11 AH12 AH14 AH15 AH16 AH17 AH18 AH19 AH20 AH21 AH23 AH24 AH25 AH26 AH28 AH29 AH30 AH31 AH32 AH33 AH34 AH36 AH37 AH38 AH39 AH40 AH41 AH42 AH43 AK6 AK7 AK8 AK9 AK10 AK11 AK12 AK14 AK15 AK16 AK17 AK18 AK19 AK20 AK21 AK23 AK24 AK25 AK26 AK28 AK29 AK30 AK31 AK32 AK33 AK34 AK36 AK37 AK38 AK39 AK40 AK41 AK42 AK43 AN6 AN7 AN8 AN9 AN10 AN11 AN12 AN14 AN15 AN16 AN17 AN18 AN19 AN20 AN21 AN23 AN24 AN25 AN26 AN28 AN29 AN30 AN31 AN32 AN33 AN34 AN36 AN37 AN38 AN39 AN40 AN41 AN42 AN43 AQ6 AQ7 AQ8 AQ9 AQ10 AQ11 AQ12 AQ14 AQ15 AQ16 AQ17 AQ18 AQ19 AQ20 AQ21 AQ23 AQ24 AQ25 AQ26 AQ28 AQ29 AQ30 AQ31 AQ32 AQ33 AQ34 AQ36 AQ37 AQ38 AQ39 AQ40 AQ41 AQ42 AQ43 AT6 AT7 AT8 AT9 AT10 AT11 AT12 AT14 AT15 AT16 AT17 AT18 AT19 AT20 AT21 AT23 AT24 AT25 AT26 AT28 AT29 AT30 AT31 AT32 AT33 AT34 AT36 AT37 AT38 AT39 AT40 AT41 AT42 AT43 AW6 AW7 AW8 AW9 AW10 AW11 AW12 AW14 AW15 AW16 AW17 AW18 AW19 AW20 AW21 AW23 AW24 AW25 AW26 AW28 AW29 AW30 AW31 AW32 AW33 AW34 AW36 AW37 AW38 AW39 AW40 AW41 AW42 AW43 AZ6 AZ7 AZ8 AZ9 AZ10 AZ11 AZ12 AZ14 AZ15 AZ16 AZ17 AZ18 AZ19 AZ20 AZ21 AZ23 AZ24 AZ25 AZ26 AZ28 AZ29 AZ30 AZ31 AZ32 AZ33 AZ34 AZ36 AZ37 AZ38 AZ39 AZ40 AZ41 AZ42 AZ43 BC6 BC7 BC8 BC9 BC10 BC11 BC12 BC14 BC15 BC16 BC17 BC18 BC19 BC20 BC21 BC23 BC24 BC25 BC26 BC28 BC29 BC30 BC31 BC32 BC33 BC34 BC36 BC37 BC38 BC39 BC40 BC41 BC42 BC43 BF6 BF7 BF8 BF9 BF10 BF11 BF12 BF14 BF15 BF16 BF17 BF18 BF19 BF20 BF21 BF23 BF24 BF25 BF26 BF28 BF29 BF30 BF31 BF32 BF33 BF34 BF36 BF37 BF38 BF39 BF40 BF41 BF42 BF43 BI6 BI7 BI8 BI9 BI10 BI11 BI12 BI14 BI15 BI16 BI17 BI18 BI19 BI20 BI21 BI23 BI24 BI25 BI26 BI28 BI29 BI30 BI31 BI32 BI33 BI34 BI36 BI37 BI38 BI39 BI40 BI41 BI42 BI43 BL6 BL7 BL8 BL9 BL10 BL11 BL12 BL14 BL15 BL16 BL17 BL18 BL19 BL20 BL21 BL23 BL24 BL25 BL26 BL28 BL29 BL30 BL31 BL32 BL33 BL34 BL36 BL37 BL38 BL39 BL40 BL41 BL42 BL43 BO6 BO7 BO8 BO9 BO10 BO11 BO12 BO14 BO15 BO16 BO17 BO18 BO19 BO20 BO21 BO23 BO24 BO25 BO26 BO28 BO29 BO30 BO31 BO32 BO33 BO34 BO36 BO37 BO38 BO39 BO40 BO41 BO42 BO43 BR6 BR7 BR8 BR9 BR10 BR11 BR12 BR14 BR15 BR16 BR17 BR18 BR19 BR20 BR21 BR23 BR24 BR25 BR26 BR28 BR29 BR30 BR31 BR32 BR33 BR34 BR36 BR37 BR38 BR39 BR40 BR41 BR42 BR43 BU6 BU7 BU8 BU9 BU10 BU11 BU12 BU14 BU15 BU16 BU17 BU18 BU19 BU20 BU21 BU23 BU24 BU25 BU26 BU28 BU29 BU30 BU31 BU32 BU33 BU34 BU36 BU37 BU38 BU39 BU40 BU41 BU42 BU43 BX6 BX7 BX8 BX9 BX10 BX11 BX12 BX14 BX15 BX16 BX17 BX18 BX19 BX20 BX21 BX23 BX24 BX25 BX26 BX28 BX29 BX30 BX31 BX32 BX33 BX34 BX36 BX37 BX38 BX39 BX40 BX41 BX42 BX43 CA6 CA7 CA8 CA9 CA10 CA11 CA12 CA14 CA15 CA16 CA17 CA18 CA19 CA20 CA21 CA23 CA24 CA25 CA26 CA28 CA29 CA30 CA31 CA32 CA33 CA34 CA36 CA37 CA38 CA39 CA40 CA41 CA42 CA43 CD6 CD7 CD8 CD9 CD10 CD11 CD12 CD14 CD15 CD16 CD17 CD18 CD19 CD20 CD21 CD23 CD24 CD25 CD26 CD28 CD29 CD30 CD31 CD32 CD33 CD34 CD36 CD37 CD38 CD39 CD40 CD41 CD42 CD43 CG6 CG7 CG8 CG9 CG10 CG11 CG12 CG14 CG15 CG16 CG17 CG18 CG19 CG20 CG21 CG23 CG24 CG25 CG26 CG28 CG29 CG30 CG31 CG32 CG33 CG34 CG36 CG37 CG38 CG39 CG40 CG41 CG42 CG43 CJ6 CJ7 CJ8 CJ9 CJ10 CJ11 CJ12 CJ14 CJ15 CJ16 CJ17 CJ18 CJ19 CJ20 CJ21 CJ23 CJ24 CJ25 CJ26 CJ28 CJ29 CJ30 CJ31 CJ32 CJ33 CJ34 CJ36 CJ37 CJ38 CJ39 CJ40 CJ41 CJ42 CJ43 CM6 CM7 CM8 CM9 CM10 CM11 CM12 CM14 CM15 CM16 CM17 CM18 CM19 CM20 CM21 CM23 CM24 CM25 CM26 CM28 CM29 CM30 CM31 CM32 CM33 CM34 CM36 CM37 CM38 CM39 CM40 CM41 CM42 CM43 CP6 CP7 CP8 CP9 CP10 CP11 CP12 CP14 CP15 CP16 CP17 CP18 CP19 CP20 CP21 CP23 CP24 CP25 CP26 CP28 CP29 CP30 CP31 CP32 CP33 CP34 CP36 CP37 CP38 CP39 CP40 CP41 CP42 CP43" showDropDown="0" showInputMessage="0" showErrorMessage="1" allowBlank="1" errorTitle="Saisie invalide" error="Valeurs autorisées : NE (non évalué), 0, 1, 2." type="list">
      <formula1>"NE,0,1,2"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110" customWidth="1" min="1" max="1"/>
  </cols>
  <sheetData>
    <row r="1" ht="28" customHeight="1">
      <c r="A1" s="33" t="inlineStr">
        <is>
          <t>Mode d'emploi de la grille de notation</t>
        </is>
      </c>
    </row>
    <row r="2">
      <c r="A2" s="34" t="inlineStr"/>
    </row>
    <row r="3">
      <c r="A3" s="35" t="inlineStr">
        <is>
          <t>1. SAISIE DES ÉVALUATIONS</t>
        </is>
      </c>
    </row>
    <row r="4">
      <c r="A4" s="34" t="inlineStr">
        <is>
          <t>Pour chaque critère et chaque élève, dans la feuille de l'évaluation (ex: BB2 12-05-26), saisir UN seul des codes suivants dans la colonne 'E1', 'E2', etc. :</t>
        </is>
      </c>
    </row>
    <row r="5">
      <c r="A5" s="34" t="inlineStr">
        <is>
          <t xml:space="preserve">  • 0  → critère non acquis</t>
        </is>
      </c>
    </row>
    <row r="6">
      <c r="A6" s="34" t="inlineStr">
        <is>
          <t xml:space="preserve">  • 1  → critère partiellement acquis (½ point)</t>
        </is>
      </c>
    </row>
    <row r="7">
      <c r="A7" s="34" t="inlineStr">
        <is>
          <t xml:space="preserve">  • 2  → critère acquis</t>
        </is>
      </c>
    </row>
    <row r="8">
      <c r="A8" s="34" t="inlineStr">
        <is>
          <t xml:space="preserve">  • NE → critère non évalué (sera ignoré dans le calcul)</t>
        </is>
      </c>
    </row>
    <row r="9">
      <c r="A9" s="34" t="inlineStr"/>
    </row>
    <row r="10">
      <c r="A10" s="34" t="inlineStr">
        <is>
          <t>La cellule propose une liste déroulante : toute autre valeur sera refusée par la validation de données.</t>
        </is>
      </c>
    </row>
    <row r="11">
      <c r="A11" s="34" t="inlineStr"/>
    </row>
    <row r="12">
      <c r="A12" s="35" t="inlineStr">
        <is>
          <t>2. CODES COULEURS</t>
        </is>
      </c>
    </row>
    <row r="13">
      <c r="A13" s="34" t="inlineStr">
        <is>
          <t xml:space="preserve">  • Vert pâle  : saisie = 2 (critère acquis)</t>
        </is>
      </c>
    </row>
    <row r="14">
      <c r="A14" s="34" t="inlineStr">
        <is>
          <t xml:space="preserve">  • Rouge pâle : saisie = 0 (critère non acquis)</t>
        </is>
      </c>
    </row>
    <row r="15">
      <c r="A15" s="34" t="inlineStr">
        <is>
          <t xml:space="preserve">  • Gris       : saisie = NE (non évalué)</t>
        </is>
      </c>
    </row>
    <row r="16">
      <c r="A16" s="34" t="inlineStr">
        <is>
          <t xml:space="preserve">  • Note finale /20 &lt; 10 → texte rouge gras</t>
        </is>
      </c>
    </row>
    <row r="17">
      <c r="A17" s="34" t="inlineStr">
        <is>
          <t xml:space="preserve">  • Note finale /20 ≥ 14 → texte vert gras</t>
        </is>
      </c>
    </row>
    <row r="18">
      <c r="A18" s="34" t="inlineStr">
        <is>
          <t xml:space="preserve">  • Audit poids (cellule F sous les critères) en rouge → un poids a été modifié, somme ≠ 5,00 (somme des 5 parties)</t>
        </is>
      </c>
    </row>
    <row r="19">
      <c r="A19" s="34" t="inlineStr"/>
    </row>
    <row r="20">
      <c r="A20" s="35" t="inlineStr">
        <is>
          <t>3. AJOUTER OU RETIRER UN ÉLÈVE</t>
        </is>
      </c>
    </row>
    <row r="21">
      <c r="A21" s="34" t="inlineStr">
        <is>
          <t>La grille est dimensionnée pour 30 élèves (24 préremplis, 6 lignes vides).</t>
        </is>
      </c>
    </row>
    <row r="22">
      <c r="A22" s="34" t="inlineStr">
        <is>
          <t xml:space="preserve">  • Ajouter : aller dans 'Élèves', ligne 28+, saisir le nom dans la colonne B. La note remontera automatiquement.</t>
        </is>
      </c>
    </row>
    <row r="23">
      <c r="A23" s="34" t="inlineStr">
        <is>
          <t xml:space="preserve">  • Retirer : effacer le nom dans la colonne B (la ligne devient grisée).</t>
        </is>
      </c>
    </row>
    <row r="24">
      <c r="A24" s="34" t="inlineStr"/>
    </row>
    <row r="25">
      <c r="A25" s="35" t="inlineStr">
        <is>
          <t>4. MODIFIER LA PONDÉRATION</t>
        </is>
      </c>
    </row>
    <row r="26">
      <c r="A26" s="34" t="inlineStr">
        <is>
          <t>Tous les poids sont dans la colonne F de la feuille d'évaluation.</t>
        </is>
      </c>
    </row>
    <row r="27">
      <c r="A27" s="34" t="inlineStr">
        <is>
          <t xml:space="preserve">  • Poids des parties : sur les lignes de titre 'P1', 'P2'…</t>
        </is>
      </c>
    </row>
    <row r="28">
      <c r="A28" s="34" t="inlineStr">
        <is>
          <t xml:space="preserve">  • Poids des critères : sur chaque ligne de critère.</t>
        </is>
      </c>
    </row>
    <row r="29">
      <c r="A29" s="34" t="inlineStr">
        <is>
          <t>Tout changement est répercuté automatiquement sur les 30 colonnes-élèves.</t>
        </is>
      </c>
    </row>
    <row r="30">
      <c r="A30" s="34" t="inlineStr">
        <is>
          <t>La cellule d'audit (en bas, colonne F) vérifie que Σ(poids critères par partie) = 1,00 pour chaque P, soit 5,00 au total.</t>
        </is>
      </c>
    </row>
    <row r="31">
      <c r="A31" s="34" t="inlineStr"/>
    </row>
    <row r="32">
      <c r="A32" s="35" t="inlineStr">
        <is>
          <t>5. AJOUTER UNE NOUVELLE ÉVALUATION (BB3, etc.)</t>
        </is>
      </c>
    </row>
    <row r="33">
      <c r="A33" s="34" t="inlineStr">
        <is>
          <t xml:space="preserve">  1) Cliquer-droit sur l'onglet 'BB2 12-05-26' → Déplacer/Copier → Cocher 'Copier' → OK.</t>
        </is>
      </c>
    </row>
    <row r="34">
      <c r="A34" s="34" t="inlineStr">
        <is>
          <t xml:space="preserve">  2) Renommer l'onglet (ex: 'BB3 16-06-26').</t>
        </is>
      </c>
    </row>
    <row r="35">
      <c r="A35" s="34" t="inlineStr">
        <is>
          <t xml:space="preserve">  3) Modifier les libellés des critères et les poids selon le nouveau sujet.</t>
        </is>
      </c>
    </row>
    <row r="36">
      <c r="A36" s="34" t="inlineStr">
        <is>
          <t xml:space="preserve">  4) Dans la feuille 'Élèves', ajouter 2 colonnes (note /20 et /12) référant à la nouvelle feuille.</t>
        </is>
      </c>
    </row>
    <row r="37">
      <c r="A37" s="34" t="inlineStr"/>
    </row>
    <row r="38">
      <c r="A38" s="35" t="inlineStr">
        <is>
          <t>6. CONTRAINTES TECHNIQUES</t>
        </is>
      </c>
    </row>
    <row r="39">
      <c r="A39" s="34" t="inlineStr">
        <is>
          <t xml:space="preserve">  • Les cellules contenant des formules sont protégées (impossible à modifier par erreur).</t>
        </is>
      </c>
    </row>
    <row r="40">
      <c r="A40" s="34" t="inlineStr">
        <is>
          <t xml:space="preserve">  • Pour modifier une formule, désactiver la protection : Outils → Protéger le document → Feuille → décocher.</t>
        </is>
      </c>
    </row>
    <row r="41">
      <c r="A41" s="34" t="inlineStr">
        <is>
          <t xml:space="preserve">  • Les noms d'élèves et les cellules de saisie sont déverrouillés.</t>
        </is>
      </c>
    </row>
    <row r="42">
      <c r="A42" s="34" t="inlineStr"/>
    </row>
    <row r="43">
      <c r="A43" s="36" t="inlineStr">
        <is>
          <t>Version générée par build_grille.py — 2026-05-15</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2026-05-16T21:27:15Z</dcterms:created>
  <dcterms:modified xsi:type="dcterms:W3CDTF">2026-05-16T21:27:15Z</dcterms:modified>
</cp:coreProperties>
</file>
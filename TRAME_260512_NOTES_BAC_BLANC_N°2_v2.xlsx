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Élèves" sheetId="1" state="visible" r:id="rId1"/>
    <sheet name="BB2 12-05-26" sheetId="2" state="visible" r:id="rId2"/>
    <sheet name="Mode d'emploi" sheetId="3" state="visible" r:id="rId3"/>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4"/>
    </font>
    <font>
      <name val="Calibri"/>
      <i val="1"/>
      <color rgb="00333333"/>
      <sz val="11"/>
    </font>
    <font>
      <name val="Calibri"/>
      <b val="1"/>
      <sz val="10"/>
    </font>
    <font>
      <name val="Calibri"/>
      <b val="1"/>
      <sz val="11"/>
    </font>
    <font>
      <name val="Calibri"/>
      <sz val="10"/>
    </font>
    <font>
      <name val="Calibri"/>
      <b val="1"/>
      <color rgb="00CC0000"/>
      <sz val="10"/>
    </font>
    <font>
      <name val="Calibri"/>
      <b val="1"/>
      <sz val="12"/>
    </font>
    <font>
      <b val="1"/>
    </font>
    <font>
      <name val="Calibri"/>
      <b val="1"/>
      <color rgb="00FFFFFF"/>
      <sz val="16"/>
    </font>
    <font>
      <name val="Calibri"/>
      <b val="1"/>
      <color rgb="002E5C8A"/>
      <sz val="12"/>
    </font>
    <font>
      <name val="Calibri"/>
      <i val="1"/>
      <color rgb="00888888"/>
      <sz val="9"/>
    </font>
  </fonts>
  <fills count="7">
    <fill>
      <patternFill/>
    </fill>
    <fill>
      <patternFill patternType="gray125"/>
    </fill>
    <fill>
      <patternFill patternType="solid">
        <fgColor rgb="002E5C8A"/>
      </patternFill>
    </fill>
    <fill>
      <patternFill patternType="solid">
        <fgColor rgb="00D4E1F1"/>
      </patternFill>
    </fill>
    <fill>
      <patternFill patternType="solid">
        <fgColor rgb="00FFE699"/>
      </patternFill>
    </fill>
    <fill>
      <patternFill patternType="solid">
        <fgColor rgb="00FFF2CC"/>
      </patternFill>
    </fill>
    <fill>
      <patternFill patternType="solid">
        <fgColor rgb="00E2EFDA"/>
      </patternFill>
    </fill>
  </fills>
  <borders count="3">
    <border>
      <left/>
      <right/>
      <top/>
      <bottom/>
      <diagonal/>
    </border>
    <border>
      <left style="thin">
        <color rgb="00888888"/>
      </left>
      <right style="thin">
        <color rgb="00888888"/>
      </right>
      <top style="thin">
        <color rgb="00888888"/>
      </top>
      <bottom style="thin">
        <color rgb="00888888"/>
      </bottom>
    </border>
    <border>
      <left style="medium">
        <color rgb="00000000"/>
      </left>
      <right style="medium">
        <color rgb="00000000"/>
      </right>
      <top style="medium">
        <color rgb="00000000"/>
      </top>
      <bottom style="medium">
        <color rgb="00000000"/>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center" vertical="center"/>
    </xf>
    <xf numFmtId="0" fontId="3" fillId="3"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2" fontId="8" fillId="0" borderId="1" applyAlignment="1" pivotButton="0" quotePrefix="0" xfId="0">
      <alignment horizontal="center" vertical="center"/>
    </xf>
    <xf numFmtId="2" fontId="0" fillId="0" borderId="1" applyAlignment="1" pivotButton="0" quotePrefix="0" xfId="0">
      <alignment horizontal="center" vertical="center"/>
    </xf>
    <xf numFmtId="0" fontId="3" fillId="3" borderId="0" pivotButton="0" quotePrefix="0" xfId="0"/>
    <xf numFmtId="2" fontId="3" fillId="3" borderId="0" pivotButton="0" quotePrefix="0" xfId="0"/>
    <xf numFmtId="0" fontId="2" fillId="0" borderId="0" applyAlignment="1" pivotButton="0" quotePrefix="0" xfId="0">
      <alignment horizontal="center" vertical="center"/>
    </xf>
    <xf numFmtId="0" fontId="0" fillId="4" borderId="0" pivotButton="0" quotePrefix="0" xfId="0"/>
    <xf numFmtId="0" fontId="4" fillId="4" borderId="2" applyAlignment="1" pivotButton="0" quotePrefix="0" xfId="0">
      <alignment horizontal="center" vertical="center"/>
    </xf>
    <xf numFmtId="0" fontId="4" fillId="4" borderId="0" applyAlignment="1" pivotButton="0" quotePrefix="0" xfId="0">
      <alignment horizontal="center" vertical="center"/>
    </xf>
    <xf numFmtId="0" fontId="4" fillId="4" borderId="2" applyAlignment="1" pivotButton="0" quotePrefix="0" xfId="0">
      <alignment horizontal="left" vertical="center" wrapText="1"/>
    </xf>
    <xf numFmtId="2" fontId="4" fillId="5" borderId="2"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0" borderId="1" applyAlignment="1" pivotButton="0" quotePrefix="0" xfId="0">
      <alignment horizontal="left" vertical="top" wrapText="1"/>
    </xf>
    <xf numFmtId="2" fontId="5" fillId="5"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protection locked="0" hidden="0"/>
    </xf>
    <xf numFmtId="2" fontId="5" fillId="6" borderId="1" applyAlignment="1" pivotButton="0" quotePrefix="0" xfId="0">
      <alignment horizontal="center" vertical="center"/>
    </xf>
    <xf numFmtId="0" fontId="6" fillId="0" borderId="1" applyAlignment="1" pivotButton="0" quotePrefix="0" xfId="0">
      <alignment horizontal="center" vertical="center"/>
    </xf>
    <xf numFmtId="0" fontId="3" fillId="0" borderId="0" applyAlignment="1" pivotButton="0" quotePrefix="0" xfId="0">
      <alignment horizontal="left" vertical="center" wrapText="1"/>
    </xf>
    <xf numFmtId="2" fontId="3" fillId="5" borderId="2" applyAlignment="1" pivotButton="0" quotePrefix="0" xfId="0">
      <alignment horizontal="center" vertical="center"/>
    </xf>
    <xf numFmtId="0" fontId="3" fillId="6" borderId="0" applyAlignment="1" pivotButton="0" quotePrefix="0" xfId="0">
      <alignment horizontal="left" vertical="center" wrapText="1"/>
    </xf>
    <xf numFmtId="2" fontId="7" fillId="6" borderId="2" applyAlignment="1" pivotButton="0" quotePrefix="0" xfId="0">
      <alignment horizontal="center" vertical="center"/>
    </xf>
    <xf numFmtId="2" fontId="4" fillId="6" borderId="1" applyAlignment="1" pivotButton="0" quotePrefix="0" xfId="0">
      <alignment horizontal="center" vertical="center"/>
    </xf>
    <xf numFmtId="9" fontId="5" fillId="0" borderId="1" applyAlignment="1" pivotButton="0" quotePrefix="0" xfId="0">
      <alignment horizontal="center" vertical="center"/>
    </xf>
    <xf numFmtId="2" fontId="5" fillId="0" borderId="1" applyAlignment="1" pivotButton="0" quotePrefix="0" xfId="0">
      <alignment horizontal="center" vertical="center"/>
    </xf>
    <xf numFmtId="0" fontId="9" fillId="2" borderId="0" applyAlignment="1" pivotButton="0" quotePrefix="0" xfId="0">
      <alignment horizontal="center" vertical="center"/>
    </xf>
    <xf numFmtId="0" fontId="5" fillId="0" borderId="0" applyAlignment="1" pivotButton="0" quotePrefix="0" xfId="0">
      <alignment horizontal="left" vertical="top" wrapText="1"/>
    </xf>
    <xf numFmtId="0" fontId="10" fillId="0" borderId="0" applyAlignment="1" pivotButton="0" quotePrefix="0" xfId="0">
      <alignment horizontal="left" vertical="center" wrapText="1"/>
    </xf>
    <xf numFmtId="0" fontId="11" fillId="0" borderId="0" pivotButton="0" quotePrefix="0" xfId="0"/>
  </cellXfs>
  <cellStyles count="1">
    <cellStyle name="Normal" xfId="0" builtinId="0" hidden="0"/>
  </cellStyles>
  <dxfs count="7">
    <dxf>
      <font>
        <i val="1"/>
        <color rgb="00BBBBBB"/>
      </font>
    </dxf>
    <dxf>
      <font>
        <b val="1"/>
        <color rgb="00CC0000"/>
      </font>
    </dxf>
    <dxf>
      <font>
        <b val="1"/>
        <color rgb="00008000"/>
      </font>
    </dxf>
    <dxf>
      <fill>
        <patternFill patternType="solid">
          <fgColor rgb="00C6EFCE"/>
        </patternFill>
      </fill>
    </dxf>
    <dxf>
      <fill>
        <patternFill patternType="solid">
          <fgColor rgb="00FFC7CE"/>
        </patternFill>
      </fill>
    </dxf>
    <dxf>
      <fill>
        <patternFill patternType="solid">
          <fgColor rgb="00D9D9D9"/>
        </patternFill>
      </fill>
    </dxf>
    <dxf>
      <font>
        <b val="1"/>
        <color rgb="00CC000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6" customWidth="1" min="3" max="3"/>
    <col width="16" customWidth="1" min="4" max="4"/>
    <col width="14" customWidth="1" min="5" max="5"/>
    <col width="14" customWidth="1" min="6" max="6"/>
  </cols>
  <sheetData>
    <row r="1" ht="24" customHeight="1">
      <c r="A1" s="1" t="inlineStr">
        <is>
          <t>Liste de la classe — Synthèse des évaluations</t>
        </is>
      </c>
    </row>
    <row r="3">
      <c r="A3" s="2" t="inlineStr">
        <is>
          <t>N°</t>
        </is>
      </c>
      <c r="B3" s="2" t="inlineStr">
        <is>
          <t>Nom Prénom</t>
        </is>
      </c>
      <c r="C3" s="2" t="inlineStr">
        <is>
          <t>BB2 12-05-26 /20</t>
        </is>
      </c>
      <c r="D3" s="2" t="inlineStr">
        <is>
          <t>BB2 12-05-26 /12</t>
        </is>
      </c>
      <c r="E3" s="2" t="inlineStr">
        <is>
          <t>Moyenne /20</t>
        </is>
      </c>
      <c r="F3" s="2" t="inlineStr">
        <is>
          <t>Moyenne /12</t>
        </is>
      </c>
    </row>
    <row r="4">
      <c r="A4" s="3" t="n">
        <v>1</v>
      </c>
      <c r="B4" s="4" t="inlineStr">
        <is>
          <t>Élève 1</t>
        </is>
      </c>
      <c r="C4" s="5">
        <f>IFERROR('BB2 12-05-26'!H46,"")</f>
        <v/>
      </c>
      <c r="D4" s="6">
        <f>IFERROR('BB2 12-05-26'!H47,"")</f>
        <v/>
      </c>
      <c r="E4" s="6">
        <f>IF(C4="","",C4)</f>
        <v/>
      </c>
      <c r="F4" s="6">
        <f>IF(D4="","",D4)</f>
        <v/>
      </c>
    </row>
    <row r="5">
      <c r="A5" s="3" t="n">
        <v>2</v>
      </c>
      <c r="B5" s="4" t="inlineStr">
        <is>
          <t>Élève 2</t>
        </is>
      </c>
      <c r="C5" s="5">
        <f>IFERROR('BB2 12-05-26'!K46,"")</f>
        <v/>
      </c>
      <c r="D5" s="6">
        <f>IFERROR('BB2 12-05-26'!K47,"")</f>
        <v/>
      </c>
      <c r="E5" s="6">
        <f>IF(C5="","",C5)</f>
        <v/>
      </c>
      <c r="F5" s="6">
        <f>IF(D5="","",D5)</f>
        <v/>
      </c>
    </row>
    <row r="6">
      <c r="A6" s="3" t="n">
        <v>3</v>
      </c>
      <c r="B6" s="4" t="inlineStr">
        <is>
          <t>Élève 3</t>
        </is>
      </c>
      <c r="C6" s="5">
        <f>IFERROR('BB2 12-05-26'!N46,"")</f>
        <v/>
      </c>
      <c r="D6" s="6">
        <f>IFERROR('BB2 12-05-26'!N47,"")</f>
        <v/>
      </c>
      <c r="E6" s="6">
        <f>IF(C6="","",C6)</f>
        <v/>
      </c>
      <c r="F6" s="6">
        <f>IF(D6="","",D6)</f>
        <v/>
      </c>
    </row>
    <row r="7">
      <c r="A7" s="3" t="n">
        <v>4</v>
      </c>
      <c r="B7" s="4" t="inlineStr">
        <is>
          <t>Élève 4</t>
        </is>
      </c>
      <c r="C7" s="5">
        <f>IFERROR('BB2 12-05-26'!Q46,"")</f>
        <v/>
      </c>
      <c r="D7" s="6">
        <f>IFERROR('BB2 12-05-26'!Q47,"")</f>
        <v/>
      </c>
      <c r="E7" s="6">
        <f>IF(C7="","",C7)</f>
        <v/>
      </c>
      <c r="F7" s="6">
        <f>IF(D7="","",D7)</f>
        <v/>
      </c>
    </row>
    <row r="8">
      <c r="A8" s="3" t="n">
        <v>5</v>
      </c>
      <c r="B8" s="4" t="inlineStr">
        <is>
          <t>Élève 5</t>
        </is>
      </c>
      <c r="C8" s="5">
        <f>IFERROR('BB2 12-05-26'!T46,"")</f>
        <v/>
      </c>
      <c r="D8" s="6">
        <f>IFERROR('BB2 12-05-26'!T47,"")</f>
        <v/>
      </c>
      <c r="E8" s="6">
        <f>IF(C8="","",C8)</f>
        <v/>
      </c>
      <c r="F8" s="6">
        <f>IF(D8="","",D8)</f>
        <v/>
      </c>
    </row>
    <row r="9">
      <c r="A9" s="3" t="n">
        <v>6</v>
      </c>
      <c r="B9" s="4" t="inlineStr">
        <is>
          <t>Élève 6</t>
        </is>
      </c>
      <c r="C9" s="5">
        <f>IFERROR('BB2 12-05-26'!W46,"")</f>
        <v/>
      </c>
      <c r="D9" s="6">
        <f>IFERROR('BB2 12-05-26'!W47,"")</f>
        <v/>
      </c>
      <c r="E9" s="6">
        <f>IF(C9="","",C9)</f>
        <v/>
      </c>
      <c r="F9" s="6">
        <f>IF(D9="","",D9)</f>
        <v/>
      </c>
    </row>
    <row r="10">
      <c r="A10" s="3" t="n">
        <v>7</v>
      </c>
      <c r="B10" s="4" t="inlineStr">
        <is>
          <t>Élève 7</t>
        </is>
      </c>
      <c r="C10" s="5">
        <f>IFERROR('BB2 12-05-26'!Z46,"")</f>
        <v/>
      </c>
      <c r="D10" s="6">
        <f>IFERROR('BB2 12-05-26'!Z47,"")</f>
        <v/>
      </c>
      <c r="E10" s="6">
        <f>IF(C10="","",C10)</f>
        <v/>
      </c>
      <c r="F10" s="6">
        <f>IF(D10="","",D10)</f>
        <v/>
      </c>
    </row>
    <row r="11">
      <c r="A11" s="3" t="n">
        <v>8</v>
      </c>
      <c r="B11" s="4" t="inlineStr">
        <is>
          <t>Élève 8</t>
        </is>
      </c>
      <c r="C11" s="5">
        <f>IFERROR('BB2 12-05-26'!AC46,"")</f>
        <v/>
      </c>
      <c r="D11" s="6">
        <f>IFERROR('BB2 12-05-26'!AC47,"")</f>
        <v/>
      </c>
      <c r="E11" s="6">
        <f>IF(C11="","",C11)</f>
        <v/>
      </c>
      <c r="F11" s="6">
        <f>IF(D11="","",D11)</f>
        <v/>
      </c>
    </row>
    <row r="12">
      <c r="A12" s="3" t="n">
        <v>9</v>
      </c>
      <c r="B12" s="4" t="inlineStr">
        <is>
          <t>Élève 9</t>
        </is>
      </c>
      <c r="C12" s="5">
        <f>IFERROR('BB2 12-05-26'!AF46,"")</f>
        <v/>
      </c>
      <c r="D12" s="6">
        <f>IFERROR('BB2 12-05-26'!AF47,"")</f>
        <v/>
      </c>
      <c r="E12" s="6">
        <f>IF(C12="","",C12)</f>
        <v/>
      </c>
      <c r="F12" s="6">
        <f>IF(D12="","",D12)</f>
        <v/>
      </c>
    </row>
    <row r="13">
      <c r="A13" s="3" t="n">
        <v>10</v>
      </c>
      <c r="B13" s="4" t="inlineStr">
        <is>
          <t>Élève 10</t>
        </is>
      </c>
      <c r="C13" s="5">
        <f>IFERROR('BB2 12-05-26'!AI46,"")</f>
        <v/>
      </c>
      <c r="D13" s="6">
        <f>IFERROR('BB2 12-05-26'!AI47,"")</f>
        <v/>
      </c>
      <c r="E13" s="6">
        <f>IF(C13="","",C13)</f>
        <v/>
      </c>
      <c r="F13" s="6">
        <f>IF(D13="","",D13)</f>
        <v/>
      </c>
    </row>
    <row r="14">
      <c r="A14" s="3" t="n">
        <v>11</v>
      </c>
      <c r="B14" s="4" t="inlineStr">
        <is>
          <t>Élève 11</t>
        </is>
      </c>
      <c r="C14" s="5">
        <f>IFERROR('BB2 12-05-26'!AL46,"")</f>
        <v/>
      </c>
      <c r="D14" s="6">
        <f>IFERROR('BB2 12-05-26'!AL47,"")</f>
        <v/>
      </c>
      <c r="E14" s="6">
        <f>IF(C14="","",C14)</f>
        <v/>
      </c>
      <c r="F14" s="6">
        <f>IF(D14="","",D14)</f>
        <v/>
      </c>
    </row>
    <row r="15">
      <c r="A15" s="3" t="n">
        <v>12</v>
      </c>
      <c r="B15" s="4" t="inlineStr">
        <is>
          <t>Élève 12</t>
        </is>
      </c>
      <c r="C15" s="5">
        <f>IFERROR('BB2 12-05-26'!AO46,"")</f>
        <v/>
      </c>
      <c r="D15" s="6">
        <f>IFERROR('BB2 12-05-26'!AO47,"")</f>
        <v/>
      </c>
      <c r="E15" s="6">
        <f>IF(C15="","",C15)</f>
        <v/>
      </c>
      <c r="F15" s="6">
        <f>IF(D15="","",D15)</f>
        <v/>
      </c>
    </row>
    <row r="16">
      <c r="A16" s="3" t="n">
        <v>13</v>
      </c>
      <c r="B16" s="4" t="inlineStr">
        <is>
          <t>Élève 13</t>
        </is>
      </c>
      <c r="C16" s="5">
        <f>IFERROR('BB2 12-05-26'!AR46,"")</f>
        <v/>
      </c>
      <c r="D16" s="6">
        <f>IFERROR('BB2 12-05-26'!AR47,"")</f>
        <v/>
      </c>
      <c r="E16" s="6">
        <f>IF(C16="","",C16)</f>
        <v/>
      </c>
      <c r="F16" s="6">
        <f>IF(D16="","",D16)</f>
        <v/>
      </c>
    </row>
    <row r="17">
      <c r="A17" s="3" t="n">
        <v>14</v>
      </c>
      <c r="B17" s="4" t="inlineStr">
        <is>
          <t>Élève 14</t>
        </is>
      </c>
      <c r="C17" s="5">
        <f>IFERROR('BB2 12-05-26'!AU46,"")</f>
        <v/>
      </c>
      <c r="D17" s="6">
        <f>IFERROR('BB2 12-05-26'!AU47,"")</f>
        <v/>
      </c>
      <c r="E17" s="6">
        <f>IF(C17="","",C17)</f>
        <v/>
      </c>
      <c r="F17" s="6">
        <f>IF(D17="","",D17)</f>
        <v/>
      </c>
    </row>
    <row r="18">
      <c r="A18" s="3" t="n">
        <v>15</v>
      </c>
      <c r="B18" s="4" t="inlineStr">
        <is>
          <t>Élève 15</t>
        </is>
      </c>
      <c r="C18" s="5">
        <f>IFERROR('BB2 12-05-26'!AX46,"")</f>
        <v/>
      </c>
      <c r="D18" s="6">
        <f>IFERROR('BB2 12-05-26'!AX47,"")</f>
        <v/>
      </c>
      <c r="E18" s="6">
        <f>IF(C18="","",C18)</f>
        <v/>
      </c>
      <c r="F18" s="6">
        <f>IF(D18="","",D18)</f>
        <v/>
      </c>
    </row>
    <row r="19">
      <c r="A19" s="3" t="n">
        <v>16</v>
      </c>
      <c r="B19" s="4" t="inlineStr">
        <is>
          <t>Élève 16</t>
        </is>
      </c>
      <c r="C19" s="5">
        <f>IFERROR('BB2 12-05-26'!BA46,"")</f>
        <v/>
      </c>
      <c r="D19" s="6">
        <f>IFERROR('BB2 12-05-26'!BA47,"")</f>
        <v/>
      </c>
      <c r="E19" s="6">
        <f>IF(C19="","",C19)</f>
        <v/>
      </c>
      <c r="F19" s="6">
        <f>IF(D19="","",D19)</f>
        <v/>
      </c>
    </row>
    <row r="20">
      <c r="A20" s="3" t="n">
        <v>17</v>
      </c>
      <c r="B20" s="4" t="inlineStr">
        <is>
          <t>Élève 17</t>
        </is>
      </c>
      <c r="C20" s="5">
        <f>IFERROR('BB2 12-05-26'!BD46,"")</f>
        <v/>
      </c>
      <c r="D20" s="6">
        <f>IFERROR('BB2 12-05-26'!BD47,"")</f>
        <v/>
      </c>
      <c r="E20" s="6">
        <f>IF(C20="","",C20)</f>
        <v/>
      </c>
      <c r="F20" s="6">
        <f>IF(D20="","",D20)</f>
        <v/>
      </c>
    </row>
    <row r="21">
      <c r="A21" s="3" t="n">
        <v>18</v>
      </c>
      <c r="B21" s="4" t="inlineStr">
        <is>
          <t>Élève 18</t>
        </is>
      </c>
      <c r="C21" s="5">
        <f>IFERROR('BB2 12-05-26'!BG46,"")</f>
        <v/>
      </c>
      <c r="D21" s="6">
        <f>IFERROR('BB2 12-05-26'!BG47,"")</f>
        <v/>
      </c>
      <c r="E21" s="6">
        <f>IF(C21="","",C21)</f>
        <v/>
      </c>
      <c r="F21" s="6">
        <f>IF(D21="","",D21)</f>
        <v/>
      </c>
    </row>
    <row r="22">
      <c r="A22" s="3" t="n">
        <v>19</v>
      </c>
      <c r="B22" s="4" t="inlineStr">
        <is>
          <t>Élève 19</t>
        </is>
      </c>
      <c r="C22" s="5">
        <f>IFERROR('BB2 12-05-26'!BJ46,"")</f>
        <v/>
      </c>
      <c r="D22" s="6">
        <f>IFERROR('BB2 12-05-26'!BJ47,"")</f>
        <v/>
      </c>
      <c r="E22" s="6">
        <f>IF(C22="","",C22)</f>
        <v/>
      </c>
      <c r="F22" s="6">
        <f>IF(D22="","",D22)</f>
        <v/>
      </c>
    </row>
    <row r="23">
      <c r="A23" s="3" t="n">
        <v>20</v>
      </c>
      <c r="B23" s="4" t="inlineStr">
        <is>
          <t>Élève 20</t>
        </is>
      </c>
      <c r="C23" s="5">
        <f>IFERROR('BB2 12-05-26'!BM46,"")</f>
        <v/>
      </c>
      <c r="D23" s="6">
        <f>IFERROR('BB2 12-05-26'!BM47,"")</f>
        <v/>
      </c>
      <c r="E23" s="6">
        <f>IF(C23="","",C23)</f>
        <v/>
      </c>
      <c r="F23" s="6">
        <f>IF(D23="","",D23)</f>
        <v/>
      </c>
    </row>
    <row r="24">
      <c r="A24" s="3" t="n">
        <v>21</v>
      </c>
      <c r="B24" s="4" t="inlineStr">
        <is>
          <t>Élève 21</t>
        </is>
      </c>
      <c r="C24" s="5">
        <f>IFERROR('BB2 12-05-26'!BP46,"")</f>
        <v/>
      </c>
      <c r="D24" s="6">
        <f>IFERROR('BB2 12-05-26'!BP47,"")</f>
        <v/>
      </c>
      <c r="E24" s="6">
        <f>IF(C24="","",C24)</f>
        <v/>
      </c>
      <c r="F24" s="6">
        <f>IF(D24="","",D24)</f>
        <v/>
      </c>
    </row>
    <row r="25">
      <c r="A25" s="3" t="n">
        <v>22</v>
      </c>
      <c r="B25" s="4" t="inlineStr">
        <is>
          <t>Élève 22</t>
        </is>
      </c>
      <c r="C25" s="5">
        <f>IFERROR('BB2 12-05-26'!BS46,"")</f>
        <v/>
      </c>
      <c r="D25" s="6">
        <f>IFERROR('BB2 12-05-26'!BS47,"")</f>
        <v/>
      </c>
      <c r="E25" s="6">
        <f>IF(C25="","",C25)</f>
        <v/>
      </c>
      <c r="F25" s="6">
        <f>IF(D25="","",D25)</f>
        <v/>
      </c>
    </row>
    <row r="26">
      <c r="A26" s="3" t="n">
        <v>23</v>
      </c>
      <c r="B26" s="4" t="inlineStr">
        <is>
          <t>Élève 23</t>
        </is>
      </c>
      <c r="C26" s="5">
        <f>IFERROR('BB2 12-05-26'!BV46,"")</f>
        <v/>
      </c>
      <c r="D26" s="6">
        <f>IFERROR('BB2 12-05-26'!BV47,"")</f>
        <v/>
      </c>
      <c r="E26" s="6">
        <f>IF(C26="","",C26)</f>
        <v/>
      </c>
      <c r="F26" s="6">
        <f>IF(D26="","",D26)</f>
        <v/>
      </c>
    </row>
    <row r="27">
      <c r="A27" s="3" t="n">
        <v>24</v>
      </c>
      <c r="B27" s="4" t="inlineStr">
        <is>
          <t>Élève 24</t>
        </is>
      </c>
      <c r="C27" s="5">
        <f>IFERROR('BB2 12-05-26'!BY46,"")</f>
        <v/>
      </c>
      <c r="D27" s="6">
        <f>IFERROR('BB2 12-05-26'!BY47,"")</f>
        <v/>
      </c>
      <c r="E27" s="6">
        <f>IF(C27="","",C27)</f>
        <v/>
      </c>
      <c r="F27" s="6">
        <f>IF(D27="","",D27)</f>
        <v/>
      </c>
    </row>
    <row r="28">
      <c r="A28" s="3" t="n">
        <v>25</v>
      </c>
      <c r="B28" s="4" t="inlineStr"/>
      <c r="C28" s="5">
        <f>IFERROR('BB2 12-05-26'!CB46,"")</f>
        <v/>
      </c>
      <c r="D28" s="6">
        <f>IFERROR('BB2 12-05-26'!CB47,"")</f>
        <v/>
      </c>
      <c r="E28" s="6">
        <f>IF(C28="","",C28)</f>
        <v/>
      </c>
      <c r="F28" s="6">
        <f>IF(D28="","",D28)</f>
        <v/>
      </c>
    </row>
    <row r="29">
      <c r="A29" s="3" t="n">
        <v>26</v>
      </c>
      <c r="B29" s="4" t="inlineStr"/>
      <c r="C29" s="5">
        <f>IFERROR('BB2 12-05-26'!CE46,"")</f>
        <v/>
      </c>
      <c r="D29" s="6">
        <f>IFERROR('BB2 12-05-26'!CE47,"")</f>
        <v/>
      </c>
      <c r="E29" s="6">
        <f>IF(C29="","",C29)</f>
        <v/>
      </c>
      <c r="F29" s="6">
        <f>IF(D29="","",D29)</f>
        <v/>
      </c>
    </row>
    <row r="30">
      <c r="A30" s="3" t="n">
        <v>27</v>
      </c>
      <c r="B30" s="4" t="inlineStr"/>
      <c r="C30" s="5">
        <f>IFERROR('BB2 12-05-26'!CH46,"")</f>
        <v/>
      </c>
      <c r="D30" s="6">
        <f>IFERROR('BB2 12-05-26'!CH47,"")</f>
        <v/>
      </c>
      <c r="E30" s="6">
        <f>IF(C30="","",C30)</f>
        <v/>
      </c>
      <c r="F30" s="6">
        <f>IF(D30="","",D30)</f>
        <v/>
      </c>
    </row>
    <row r="31">
      <c r="A31" s="3" t="n">
        <v>28</v>
      </c>
      <c r="B31" s="4" t="inlineStr"/>
      <c r="C31" s="5">
        <f>IFERROR('BB2 12-05-26'!CK46,"")</f>
        <v/>
      </c>
      <c r="D31" s="6">
        <f>IFERROR('BB2 12-05-26'!CK47,"")</f>
        <v/>
      </c>
      <c r="E31" s="6">
        <f>IF(C31="","",C31)</f>
        <v/>
      </c>
      <c r="F31" s="6">
        <f>IF(D31="","",D31)</f>
        <v/>
      </c>
    </row>
    <row r="32">
      <c r="A32" s="3" t="n">
        <v>29</v>
      </c>
      <c r="B32" s="4" t="inlineStr"/>
      <c r="C32" s="5">
        <f>IFERROR('BB2 12-05-26'!CN46,"")</f>
        <v/>
      </c>
      <c r="D32" s="6">
        <f>IFERROR('BB2 12-05-26'!CN47,"")</f>
        <v/>
      </c>
      <c r="E32" s="6">
        <f>IF(C32="","",C32)</f>
        <v/>
      </c>
      <c r="F32" s="6">
        <f>IF(D32="","",D32)</f>
        <v/>
      </c>
    </row>
    <row r="33">
      <c r="A33" s="3" t="n">
        <v>30</v>
      </c>
      <c r="B33" s="4" t="inlineStr"/>
      <c r="C33" s="5">
        <f>IFERROR('BB2 12-05-26'!CQ46,"")</f>
        <v/>
      </c>
      <c r="D33" s="6">
        <f>IFERROR('BB2 12-05-26'!CQ47,"")</f>
        <v/>
      </c>
      <c r="E33" s="6">
        <f>IF(C33="","",C33)</f>
        <v/>
      </c>
      <c r="F33" s="6">
        <f>IF(D33="","",D33)</f>
        <v/>
      </c>
    </row>
    <row r="35">
      <c r="B35" s="7" t="inlineStr">
        <is>
          <t>Moyenne classe</t>
        </is>
      </c>
      <c r="C35" s="8">
        <f>IFERROR(AVERAGE(C4:C33),"")</f>
        <v/>
      </c>
      <c r="D35" s="8">
        <f>IFERROR(AVERAGE(D4:D33),"")</f>
        <v/>
      </c>
    </row>
  </sheetData>
  <sheetProtection selectLockedCells="0" selectUnlockedCells="0" sheet="1" objects="0" insertRows="1" insertHyperlinks="1" autoFilter="1" scenarios="0" formatColumns="1" deleteColumns="1" insertColumns="1" pivotTables="1" deleteRows="1" formatCells="1" formatRows="1" sort="1" password="CE4B"/>
  <mergeCells count="1">
    <mergeCell ref="A1:F1"/>
  </mergeCells>
  <conditionalFormatting sqref="A4:F4">
    <cfRule type="expression" priority="1" dxfId="0">
      <formula>$B4=""</formula>
    </cfRule>
  </conditionalFormatting>
  <conditionalFormatting sqref="A5:F5">
    <cfRule type="expression" priority="2" dxfId="0">
      <formula>$B5=""</formula>
    </cfRule>
  </conditionalFormatting>
  <conditionalFormatting sqref="A6:F6">
    <cfRule type="expression" priority="3" dxfId="0">
      <formula>$B6=""</formula>
    </cfRule>
  </conditionalFormatting>
  <conditionalFormatting sqref="A7:F7">
    <cfRule type="expression" priority="4" dxfId="0">
      <formula>$B7=""</formula>
    </cfRule>
  </conditionalFormatting>
  <conditionalFormatting sqref="A8:F8">
    <cfRule type="expression" priority="5" dxfId="0">
      <formula>$B8=""</formula>
    </cfRule>
  </conditionalFormatting>
  <conditionalFormatting sqref="A9:F9">
    <cfRule type="expression" priority="6" dxfId="0">
      <formula>$B9=""</formula>
    </cfRule>
  </conditionalFormatting>
  <conditionalFormatting sqref="A10:F10">
    <cfRule type="expression" priority="7" dxfId="0">
      <formula>$B10=""</formula>
    </cfRule>
  </conditionalFormatting>
  <conditionalFormatting sqref="A11:F11">
    <cfRule type="expression" priority="8" dxfId="0">
      <formula>$B11=""</formula>
    </cfRule>
  </conditionalFormatting>
  <conditionalFormatting sqref="A12:F12">
    <cfRule type="expression" priority="9" dxfId="0">
      <formula>$B12=""</formula>
    </cfRule>
  </conditionalFormatting>
  <conditionalFormatting sqref="A13:F13">
    <cfRule type="expression" priority="10" dxfId="0">
      <formula>$B13=""</formula>
    </cfRule>
  </conditionalFormatting>
  <conditionalFormatting sqref="A14:F14">
    <cfRule type="expression" priority="11" dxfId="0">
      <formula>$B14=""</formula>
    </cfRule>
  </conditionalFormatting>
  <conditionalFormatting sqref="A15:F15">
    <cfRule type="expression" priority="12" dxfId="0">
      <formula>$B15=""</formula>
    </cfRule>
  </conditionalFormatting>
  <conditionalFormatting sqref="A16:F16">
    <cfRule type="expression" priority="13" dxfId="0">
      <formula>$B16=""</formula>
    </cfRule>
  </conditionalFormatting>
  <conditionalFormatting sqref="A17:F17">
    <cfRule type="expression" priority="14" dxfId="0">
      <formula>$B17=""</formula>
    </cfRule>
  </conditionalFormatting>
  <conditionalFormatting sqref="A18:F18">
    <cfRule type="expression" priority="15" dxfId="0">
      <formula>$B18=""</formula>
    </cfRule>
  </conditionalFormatting>
  <conditionalFormatting sqref="A19:F19">
    <cfRule type="expression" priority="16" dxfId="0">
      <formula>$B19=""</formula>
    </cfRule>
  </conditionalFormatting>
  <conditionalFormatting sqref="A20:F20">
    <cfRule type="expression" priority="17" dxfId="0">
      <formula>$B20=""</formula>
    </cfRule>
  </conditionalFormatting>
  <conditionalFormatting sqref="A21:F21">
    <cfRule type="expression" priority="18" dxfId="0">
      <formula>$B21=""</formula>
    </cfRule>
  </conditionalFormatting>
  <conditionalFormatting sqref="A22:F22">
    <cfRule type="expression" priority="19" dxfId="0">
      <formula>$B22=""</formula>
    </cfRule>
  </conditionalFormatting>
  <conditionalFormatting sqref="A23:F23">
    <cfRule type="expression" priority="20" dxfId="0">
      <formula>$B23=""</formula>
    </cfRule>
  </conditionalFormatting>
  <conditionalFormatting sqref="A24:F24">
    <cfRule type="expression" priority="21" dxfId="0">
      <formula>$B24=""</formula>
    </cfRule>
  </conditionalFormatting>
  <conditionalFormatting sqref="A25:F25">
    <cfRule type="expression" priority="22" dxfId="0">
      <formula>$B25=""</formula>
    </cfRule>
  </conditionalFormatting>
  <conditionalFormatting sqref="A26:F26">
    <cfRule type="expression" priority="23" dxfId="0">
      <formula>$B26=""</formula>
    </cfRule>
  </conditionalFormatting>
  <conditionalFormatting sqref="A27:F27">
    <cfRule type="expression" priority="24" dxfId="0">
      <formula>$B27=""</formula>
    </cfRule>
  </conditionalFormatting>
  <conditionalFormatting sqref="A28:F28">
    <cfRule type="expression" priority="25" dxfId="0">
      <formula>$B28=""</formula>
    </cfRule>
  </conditionalFormatting>
  <conditionalFormatting sqref="A29:F29">
    <cfRule type="expression" priority="26" dxfId="0">
      <formula>$B29=""</formula>
    </cfRule>
  </conditionalFormatting>
  <conditionalFormatting sqref="A30:F30">
    <cfRule type="expression" priority="27" dxfId="0">
      <formula>$B30=""</formula>
    </cfRule>
  </conditionalFormatting>
  <conditionalFormatting sqref="A31:F31">
    <cfRule type="expression" priority="28" dxfId="0">
      <formula>$B31=""</formula>
    </cfRule>
  </conditionalFormatting>
  <conditionalFormatting sqref="A32:F32">
    <cfRule type="expression" priority="29" dxfId="0">
      <formula>$B32=""</formula>
    </cfRule>
  </conditionalFormatting>
  <conditionalFormatting sqref="A33:F33">
    <cfRule type="expression" priority="30" dxfId="0">
      <formula>$B33=""</formula>
    </cfRule>
  </conditionalFormatting>
  <conditionalFormatting sqref="C4:C33">
    <cfRule type="cellIs" priority="31" operator="lessThan" dxfId="1">
      <formula>10</formula>
    </cfRule>
    <cfRule type="cellIs" priority="32" operator="greaterThanOrEqual" dxfId="2">
      <formula>14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R50"/>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9" customWidth="1" min="3" max="3"/>
    <col width="8" customWidth="1" min="4" max="4"/>
    <col width="65" customWidth="1" min="5" max="5"/>
    <col width="8" customWidth="1" min="6" max="6"/>
    <col width="6" customWidth="1" min="7" max="7"/>
    <col width="7" customWidth="1" min="8" max="8"/>
    <col width="3" customWidth="1" min="9" max="9"/>
    <col width="6" customWidth="1" min="10" max="10"/>
    <col width="7" customWidth="1" min="11" max="11"/>
    <col width="3" customWidth="1" min="12" max="12"/>
    <col width="6" customWidth="1" min="13" max="13"/>
    <col width="7" customWidth="1" min="14" max="14"/>
    <col width="3" customWidth="1" min="15" max="15"/>
    <col width="6" customWidth="1" min="16" max="16"/>
    <col width="7" customWidth="1" min="17" max="17"/>
    <col width="3" customWidth="1" min="18" max="18"/>
    <col width="6" customWidth="1" min="19" max="19"/>
    <col width="7" customWidth="1" min="20" max="20"/>
    <col width="3" customWidth="1" min="21" max="21"/>
    <col width="6" customWidth="1" min="22" max="22"/>
    <col width="7" customWidth="1" min="23" max="23"/>
    <col width="3" customWidth="1" min="24" max="24"/>
    <col width="6" customWidth="1" min="25" max="25"/>
    <col width="7" customWidth="1" min="26" max="26"/>
    <col width="3" customWidth="1" min="27" max="27"/>
    <col width="6" customWidth="1" min="28" max="28"/>
    <col width="7" customWidth="1" min="29" max="29"/>
    <col width="3" customWidth="1" min="30" max="30"/>
    <col width="6" customWidth="1" min="31" max="31"/>
    <col width="7" customWidth="1" min="32" max="32"/>
    <col width="3" customWidth="1" min="33" max="33"/>
    <col width="6" customWidth="1" min="34" max="34"/>
    <col width="7" customWidth="1" min="35" max="35"/>
    <col width="3" customWidth="1" min="36" max="36"/>
    <col width="6" customWidth="1" min="37" max="37"/>
    <col width="7" customWidth="1" min="38" max="38"/>
    <col width="3" customWidth="1" min="39" max="39"/>
    <col width="6" customWidth="1" min="40" max="40"/>
    <col width="7" customWidth="1" min="41" max="41"/>
    <col width="3" customWidth="1" min="42" max="42"/>
    <col width="6" customWidth="1" min="43" max="43"/>
    <col width="7" customWidth="1" min="44" max="44"/>
    <col width="3" customWidth="1" min="45" max="45"/>
    <col width="6" customWidth="1" min="46" max="46"/>
    <col width="7" customWidth="1" min="47" max="47"/>
    <col width="3" customWidth="1" min="48" max="48"/>
    <col width="6" customWidth="1" min="49" max="49"/>
    <col width="7" customWidth="1" min="50" max="50"/>
    <col width="3" customWidth="1" min="51" max="51"/>
    <col width="6" customWidth="1" min="52" max="52"/>
    <col width="7" customWidth="1" min="53" max="53"/>
    <col width="3" customWidth="1" min="54" max="54"/>
    <col width="6" customWidth="1" min="55" max="55"/>
    <col width="7" customWidth="1" min="56" max="56"/>
    <col width="3" customWidth="1" min="57" max="57"/>
    <col width="6" customWidth="1" min="58" max="58"/>
    <col width="7" customWidth="1" min="59" max="59"/>
    <col width="3" customWidth="1" min="60" max="60"/>
    <col width="6" customWidth="1" min="61" max="61"/>
    <col width="7" customWidth="1" min="62" max="62"/>
    <col width="3" customWidth="1" min="63" max="63"/>
    <col width="6" customWidth="1" min="64" max="64"/>
    <col width="7" customWidth="1" min="65" max="65"/>
    <col width="3" customWidth="1" min="66" max="66"/>
    <col width="6" customWidth="1" min="67" max="67"/>
    <col width="7" customWidth="1" min="68" max="68"/>
    <col width="3" customWidth="1" min="69" max="69"/>
    <col width="6" customWidth="1" min="70" max="70"/>
    <col width="7" customWidth="1" min="71" max="71"/>
    <col width="3" customWidth="1" min="72" max="72"/>
    <col width="6" customWidth="1" min="73" max="73"/>
    <col width="7" customWidth="1" min="74" max="74"/>
    <col width="3" customWidth="1" min="75" max="75"/>
    <col width="6" customWidth="1" min="76" max="76"/>
    <col width="7" customWidth="1" min="77" max="77"/>
    <col width="3" customWidth="1" min="78" max="78"/>
    <col width="6" customWidth="1" min="79" max="79"/>
    <col width="7" customWidth="1" min="80" max="80"/>
    <col width="3" customWidth="1" min="81" max="81"/>
    <col width="6" customWidth="1" min="82" max="82"/>
    <col width="7" customWidth="1" min="83" max="83"/>
    <col width="3" customWidth="1" min="84" max="84"/>
    <col width="6" customWidth="1" min="85" max="85"/>
    <col width="7" customWidth="1" min="86" max="86"/>
    <col width="3" customWidth="1" min="87" max="87"/>
    <col width="6" customWidth="1" min="88" max="88"/>
    <col width="7" customWidth="1" min="89" max="89"/>
    <col width="3" customWidth="1" min="90" max="90"/>
    <col width="6" customWidth="1" min="91" max="91"/>
    <col width="7" customWidth="1" min="92" max="92"/>
    <col width="3" customWidth="1" min="93" max="93"/>
    <col width="6" customWidth="1" min="94" max="94"/>
    <col width="7" customWidth="1" min="95" max="95"/>
    <col width="3" customWidth="1" min="96" max="96"/>
  </cols>
  <sheetData>
    <row r="1" ht="24" customHeight="1">
      <c r="A1" s="1" t="inlineStr">
        <is>
          <t>BAC BLANC N°2 — 12-05-2026 — STI2D 2I2D — Site AQUALYON</t>
        </is>
      </c>
    </row>
    <row r="2" ht="20" customHeight="1">
      <c r="A2" s="9" t="inlineStr">
        <is>
          <t>Analyse des performances de la station de méthanisation de la Feyssine — Partie commune (12 pts)</t>
        </is>
      </c>
    </row>
    <row r="3" ht="32" customHeight="1">
      <c r="A3" s="2" t="inlineStr">
        <is>
          <t>N°</t>
        </is>
      </c>
      <c r="B3" s="2" t="inlineStr">
        <is>
          <t>Partie</t>
        </is>
      </c>
      <c r="C3" s="2" t="inlineStr">
        <is>
          <t>Question</t>
        </is>
      </c>
      <c r="D3" s="2" t="inlineStr">
        <is>
          <t>Type</t>
        </is>
      </c>
      <c r="E3" s="2" t="inlineStr">
        <is>
          <t>Critère / attendu</t>
        </is>
      </c>
      <c r="F3" s="2" t="inlineStr">
        <is>
          <t>Poids</t>
        </is>
      </c>
      <c r="G3" s="2" t="inlineStr">
        <is>
          <t>E1</t>
        </is>
      </c>
      <c r="H3" s="2" t="inlineStr">
        <is>
          <t>Note</t>
        </is>
      </c>
      <c r="I3" s="2" t="inlineStr">
        <is>
          <t>⚠</t>
        </is>
      </c>
      <c r="J3" s="2" t="inlineStr">
        <is>
          <t>E2</t>
        </is>
      </c>
      <c r="K3" s="2" t="inlineStr">
        <is>
          <t>Note</t>
        </is>
      </c>
      <c r="L3" s="2" t="inlineStr">
        <is>
          <t>⚠</t>
        </is>
      </c>
      <c r="M3" s="2" t="inlineStr">
        <is>
          <t>E3</t>
        </is>
      </c>
      <c r="N3" s="2" t="inlineStr">
        <is>
          <t>Note</t>
        </is>
      </c>
      <c r="O3" s="2" t="inlineStr">
        <is>
          <t>⚠</t>
        </is>
      </c>
      <c r="P3" s="2" t="inlineStr">
        <is>
          <t>E4</t>
        </is>
      </c>
      <c r="Q3" s="2" t="inlineStr">
        <is>
          <t>Note</t>
        </is>
      </c>
      <c r="R3" s="2" t="inlineStr">
        <is>
          <t>⚠</t>
        </is>
      </c>
      <c r="S3" s="2" t="inlineStr">
        <is>
          <t>E5</t>
        </is>
      </c>
      <c r="T3" s="2" t="inlineStr">
        <is>
          <t>Note</t>
        </is>
      </c>
      <c r="U3" s="2" t="inlineStr">
        <is>
          <t>⚠</t>
        </is>
      </c>
      <c r="V3" s="2" t="inlineStr">
        <is>
          <t>E6</t>
        </is>
      </c>
      <c r="W3" s="2" t="inlineStr">
        <is>
          <t>Note</t>
        </is>
      </c>
      <c r="X3" s="2" t="inlineStr">
        <is>
          <t>⚠</t>
        </is>
      </c>
      <c r="Y3" s="2" t="inlineStr">
        <is>
          <t>E7</t>
        </is>
      </c>
      <c r="Z3" s="2" t="inlineStr">
        <is>
          <t>Note</t>
        </is>
      </c>
      <c r="AA3" s="2" t="inlineStr">
        <is>
          <t>⚠</t>
        </is>
      </c>
      <c r="AB3" s="2" t="inlineStr">
        <is>
          <t>E8</t>
        </is>
      </c>
      <c r="AC3" s="2" t="inlineStr">
        <is>
          <t>Note</t>
        </is>
      </c>
      <c r="AD3" s="2" t="inlineStr">
        <is>
          <t>⚠</t>
        </is>
      </c>
      <c r="AE3" s="2" t="inlineStr">
        <is>
          <t>E9</t>
        </is>
      </c>
      <c r="AF3" s="2" t="inlineStr">
        <is>
          <t>Note</t>
        </is>
      </c>
      <c r="AG3" s="2" t="inlineStr">
        <is>
          <t>⚠</t>
        </is>
      </c>
      <c r="AH3" s="2" t="inlineStr">
        <is>
          <t>E10</t>
        </is>
      </c>
      <c r="AI3" s="2" t="inlineStr">
        <is>
          <t>Note</t>
        </is>
      </c>
      <c r="AJ3" s="2" t="inlineStr">
        <is>
          <t>⚠</t>
        </is>
      </c>
      <c r="AK3" s="2" t="inlineStr">
        <is>
          <t>E11</t>
        </is>
      </c>
      <c r="AL3" s="2" t="inlineStr">
        <is>
          <t>Note</t>
        </is>
      </c>
      <c r="AM3" s="2" t="inlineStr">
        <is>
          <t>⚠</t>
        </is>
      </c>
      <c r="AN3" s="2" t="inlineStr">
        <is>
          <t>E12</t>
        </is>
      </c>
      <c r="AO3" s="2" t="inlineStr">
        <is>
          <t>Note</t>
        </is>
      </c>
      <c r="AP3" s="2" t="inlineStr">
        <is>
          <t>⚠</t>
        </is>
      </c>
      <c r="AQ3" s="2" t="inlineStr">
        <is>
          <t>E13</t>
        </is>
      </c>
      <c r="AR3" s="2" t="inlineStr">
        <is>
          <t>Note</t>
        </is>
      </c>
      <c r="AS3" s="2" t="inlineStr">
        <is>
          <t>⚠</t>
        </is>
      </c>
      <c r="AT3" s="2" t="inlineStr">
        <is>
          <t>E14</t>
        </is>
      </c>
      <c r="AU3" s="2" t="inlineStr">
        <is>
          <t>Note</t>
        </is>
      </c>
      <c r="AV3" s="2" t="inlineStr">
        <is>
          <t>⚠</t>
        </is>
      </c>
      <c r="AW3" s="2" t="inlineStr">
        <is>
          <t>E15</t>
        </is>
      </c>
      <c r="AX3" s="2" t="inlineStr">
        <is>
          <t>Note</t>
        </is>
      </c>
      <c r="AY3" s="2" t="inlineStr">
        <is>
          <t>⚠</t>
        </is>
      </c>
      <c r="AZ3" s="2" t="inlineStr">
        <is>
          <t>E16</t>
        </is>
      </c>
      <c r="BA3" s="2" t="inlineStr">
        <is>
          <t>Note</t>
        </is>
      </c>
      <c r="BB3" s="2" t="inlineStr">
        <is>
          <t>⚠</t>
        </is>
      </c>
      <c r="BC3" s="2" t="inlineStr">
        <is>
          <t>E17</t>
        </is>
      </c>
      <c r="BD3" s="2" t="inlineStr">
        <is>
          <t>Note</t>
        </is>
      </c>
      <c r="BE3" s="2" t="inlineStr">
        <is>
          <t>⚠</t>
        </is>
      </c>
      <c r="BF3" s="2" t="inlineStr">
        <is>
          <t>E18</t>
        </is>
      </c>
      <c r="BG3" s="2" t="inlineStr">
        <is>
          <t>Note</t>
        </is>
      </c>
      <c r="BH3" s="2" t="inlineStr">
        <is>
          <t>⚠</t>
        </is>
      </c>
      <c r="BI3" s="2" t="inlineStr">
        <is>
          <t>E19</t>
        </is>
      </c>
      <c r="BJ3" s="2" t="inlineStr">
        <is>
          <t>Note</t>
        </is>
      </c>
      <c r="BK3" s="2" t="inlineStr">
        <is>
          <t>⚠</t>
        </is>
      </c>
      <c r="BL3" s="2" t="inlineStr">
        <is>
          <t>E20</t>
        </is>
      </c>
      <c r="BM3" s="2" t="inlineStr">
        <is>
          <t>Note</t>
        </is>
      </c>
      <c r="BN3" s="2" t="inlineStr">
        <is>
          <t>⚠</t>
        </is>
      </c>
      <c r="BO3" s="2" t="inlineStr">
        <is>
          <t>E21</t>
        </is>
      </c>
      <c r="BP3" s="2" t="inlineStr">
        <is>
          <t>Note</t>
        </is>
      </c>
      <c r="BQ3" s="2" t="inlineStr">
        <is>
          <t>⚠</t>
        </is>
      </c>
      <c r="BR3" s="2" t="inlineStr">
        <is>
          <t>E22</t>
        </is>
      </c>
      <c r="BS3" s="2" t="inlineStr">
        <is>
          <t>Note</t>
        </is>
      </c>
      <c r="BT3" s="2" t="inlineStr">
        <is>
          <t>⚠</t>
        </is>
      </c>
      <c r="BU3" s="2" t="inlineStr">
        <is>
          <t>E23</t>
        </is>
      </c>
      <c r="BV3" s="2" t="inlineStr">
        <is>
          <t>Note</t>
        </is>
      </c>
      <c r="BW3" s="2" t="inlineStr">
        <is>
          <t>⚠</t>
        </is>
      </c>
      <c r="BX3" s="2" t="inlineStr">
        <is>
          <t>E24</t>
        </is>
      </c>
      <c r="BY3" s="2" t="inlineStr">
        <is>
          <t>Note</t>
        </is>
      </c>
      <c r="BZ3" s="2" t="inlineStr">
        <is>
          <t>⚠</t>
        </is>
      </c>
      <c r="CA3" s="2" t="inlineStr">
        <is>
          <t>E25</t>
        </is>
      </c>
      <c r="CB3" s="2" t="inlineStr">
        <is>
          <t>Note</t>
        </is>
      </c>
      <c r="CC3" s="2" t="inlineStr">
        <is>
          <t>⚠</t>
        </is>
      </c>
      <c r="CD3" s="2" t="inlineStr">
        <is>
          <t>E26</t>
        </is>
      </c>
      <c r="CE3" s="2" t="inlineStr">
        <is>
          <t>Note</t>
        </is>
      </c>
      <c r="CF3" s="2" t="inlineStr">
        <is>
          <t>⚠</t>
        </is>
      </c>
      <c r="CG3" s="2" t="inlineStr">
        <is>
          <t>E27</t>
        </is>
      </c>
      <c r="CH3" s="2" t="inlineStr">
        <is>
          <t>Note</t>
        </is>
      </c>
      <c r="CI3" s="2" t="inlineStr">
        <is>
          <t>⚠</t>
        </is>
      </c>
      <c r="CJ3" s="2" t="inlineStr">
        <is>
          <t>E28</t>
        </is>
      </c>
      <c r="CK3" s="2" t="inlineStr">
        <is>
          <t>Note</t>
        </is>
      </c>
      <c r="CL3" s="2" t="inlineStr">
        <is>
          <t>⚠</t>
        </is>
      </c>
      <c r="CM3" s="2" t="inlineStr">
        <is>
          <t>E29</t>
        </is>
      </c>
      <c r="CN3" s="2" t="inlineStr">
        <is>
          <t>Note</t>
        </is>
      </c>
      <c r="CO3" s="2" t="inlineStr">
        <is>
          <t>⚠</t>
        </is>
      </c>
      <c r="CP3" s="2" t="inlineStr">
        <is>
          <t>E30</t>
        </is>
      </c>
      <c r="CQ3" s="2" t="inlineStr">
        <is>
          <t>Note</t>
        </is>
      </c>
      <c r="CR3" s="2" t="inlineStr">
        <is>
          <t>⚠</t>
        </is>
      </c>
    </row>
    <row r="4" ht="22" customHeight="1">
      <c r="A4" s="10" t="inlineStr"/>
      <c r="B4" s="11" t="inlineStr">
        <is>
          <t>P1</t>
        </is>
      </c>
      <c r="C4" s="10" t="inlineStr"/>
      <c r="D4" s="12" t="inlineStr">
        <is>
          <t>Partie</t>
        </is>
      </c>
      <c r="E4" s="13" t="inlineStr">
        <is>
          <t>Comment la station de la Feyssine permet-elle de répondre aux besoins de la métropole ?</t>
        </is>
      </c>
      <c r="F4" s="14" t="n">
        <v>0.2</v>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10" t="n"/>
      <c r="BL4" s="10" t="n"/>
      <c r="BM4" s="10" t="n"/>
      <c r="BN4" s="10" t="n"/>
      <c r="BO4" s="10" t="n"/>
      <c r="BP4" s="10" t="n"/>
      <c r="BQ4" s="10" t="n"/>
      <c r="BR4" s="10" t="n"/>
      <c r="BS4" s="10" t="n"/>
      <c r="BT4" s="10" t="n"/>
      <c r="BU4" s="10" t="n"/>
      <c r="BV4" s="10" t="n"/>
      <c r="BW4" s="10" t="n"/>
      <c r="BX4" s="10" t="n"/>
      <c r="BY4" s="10" t="n"/>
      <c r="BZ4" s="10" t="n"/>
      <c r="CA4" s="10" t="n"/>
      <c r="CB4" s="10" t="n"/>
      <c r="CC4" s="10" t="n"/>
      <c r="CD4" s="10" t="n"/>
      <c r="CE4" s="10" t="n"/>
      <c r="CF4" s="10" t="n"/>
      <c r="CG4" s="10" t="n"/>
      <c r="CH4" s="10" t="n"/>
      <c r="CI4" s="10" t="n"/>
      <c r="CJ4" s="10" t="n"/>
      <c r="CK4" s="10" t="n"/>
      <c r="CL4" s="10" t="n"/>
      <c r="CM4" s="10" t="n"/>
      <c r="CN4" s="10" t="n"/>
      <c r="CO4" s="10" t="n"/>
      <c r="CP4" s="10" t="n"/>
      <c r="CQ4" s="10" t="n"/>
      <c r="CR4" s="10" t="n"/>
    </row>
    <row r="5" ht="36" customHeight="1">
      <c r="A5" s="15" t="n">
        <v>1</v>
      </c>
      <c r="B5" s="15" t="inlineStr">
        <is>
          <t>P1</t>
        </is>
      </c>
      <c r="C5" s="15" t="inlineStr">
        <is>
          <t>Q1.1</t>
        </is>
      </c>
      <c r="D5" s="15" t="inlineStr">
        <is>
          <t>Critère</t>
        </is>
      </c>
      <c r="E5" s="16" t="inlineStr">
        <is>
          <t>La station de Saint-Fons est saturée en DBO.</t>
        </is>
      </c>
      <c r="F5" s="17" t="n">
        <v>0.15</v>
      </c>
      <c r="G5" s="18" t="n"/>
      <c r="H5" s="19">
        <f>IF(G5="","",IF(G5="NE","",IF(G5="0",0,IF(G5="1",0.5,IF(G5="2",1,0)))*$F5*$F$4*20))</f>
        <v/>
      </c>
      <c r="I5" s="20">
        <f>IF(G5="NE","~",IF(G5="","",""))</f>
        <v/>
      </c>
      <c r="J5" s="18" t="n"/>
      <c r="K5" s="19">
        <f>IF(J5="","",IF(J5="NE","",IF(J5="0",0,IF(J5="1",0.5,IF(J5="2",1,0)))*$F5*$F$4*20))</f>
        <v/>
      </c>
      <c r="L5" s="20">
        <f>IF(J5="NE","~",IF(J5="","",""))</f>
        <v/>
      </c>
      <c r="M5" s="18" t="n"/>
      <c r="N5" s="19">
        <f>IF(M5="","",IF(M5="NE","",IF(M5="0",0,IF(M5="1",0.5,IF(M5="2",1,0)))*$F5*$F$4*20))</f>
        <v/>
      </c>
      <c r="O5" s="20">
        <f>IF(M5="NE","~",IF(M5="","",""))</f>
        <v/>
      </c>
      <c r="P5" s="18" t="n"/>
      <c r="Q5" s="19">
        <f>IF(P5="","",IF(P5="NE","",IF(P5="0",0,IF(P5="1",0.5,IF(P5="2",1,0)))*$F5*$F$4*20))</f>
        <v/>
      </c>
      <c r="R5" s="20">
        <f>IF(P5="NE","~",IF(P5="","",""))</f>
        <v/>
      </c>
      <c r="S5" s="18" t="n"/>
      <c r="T5" s="19">
        <f>IF(S5="","",IF(S5="NE","",IF(S5="0",0,IF(S5="1",0.5,IF(S5="2",1,0)))*$F5*$F$4*20))</f>
        <v/>
      </c>
      <c r="U5" s="20">
        <f>IF(S5="NE","~",IF(S5="","",""))</f>
        <v/>
      </c>
      <c r="V5" s="18" t="n"/>
      <c r="W5" s="19">
        <f>IF(V5="","",IF(V5="NE","",IF(V5="0",0,IF(V5="1",0.5,IF(V5="2",1,0)))*$F5*$F$4*20))</f>
        <v/>
      </c>
      <c r="X5" s="20">
        <f>IF(V5="NE","~",IF(V5="","",""))</f>
        <v/>
      </c>
      <c r="Y5" s="18" t="n"/>
      <c r="Z5" s="19">
        <f>IF(Y5="","",IF(Y5="NE","",IF(Y5="0",0,IF(Y5="1",0.5,IF(Y5="2",1,0)))*$F5*$F$4*20))</f>
        <v/>
      </c>
      <c r="AA5" s="20">
        <f>IF(Y5="NE","~",IF(Y5="","",""))</f>
        <v/>
      </c>
      <c r="AB5" s="18" t="n"/>
      <c r="AC5" s="19">
        <f>IF(AB5="","",IF(AB5="NE","",IF(AB5="0",0,IF(AB5="1",0.5,IF(AB5="2",1,0)))*$F5*$F$4*20))</f>
        <v/>
      </c>
      <c r="AD5" s="20">
        <f>IF(AB5="NE","~",IF(AB5="","",""))</f>
        <v/>
      </c>
      <c r="AE5" s="18" t="n"/>
      <c r="AF5" s="19">
        <f>IF(AE5="","",IF(AE5="NE","",IF(AE5="0",0,IF(AE5="1",0.5,IF(AE5="2",1,0)))*$F5*$F$4*20))</f>
        <v/>
      </c>
      <c r="AG5" s="20">
        <f>IF(AE5="NE","~",IF(AE5="","",""))</f>
        <v/>
      </c>
      <c r="AH5" s="18" t="n"/>
      <c r="AI5" s="19">
        <f>IF(AH5="","",IF(AH5="NE","",IF(AH5="0",0,IF(AH5="1",0.5,IF(AH5="2",1,0)))*$F5*$F$4*20))</f>
        <v/>
      </c>
      <c r="AJ5" s="20">
        <f>IF(AH5="NE","~",IF(AH5="","",""))</f>
        <v/>
      </c>
      <c r="AK5" s="18" t="n"/>
      <c r="AL5" s="19">
        <f>IF(AK5="","",IF(AK5="NE","",IF(AK5="0",0,IF(AK5="1",0.5,IF(AK5="2",1,0)))*$F5*$F$4*20))</f>
        <v/>
      </c>
      <c r="AM5" s="20">
        <f>IF(AK5="NE","~",IF(AK5="","",""))</f>
        <v/>
      </c>
      <c r="AN5" s="18" t="n"/>
      <c r="AO5" s="19">
        <f>IF(AN5="","",IF(AN5="NE","",IF(AN5="0",0,IF(AN5="1",0.5,IF(AN5="2",1,0)))*$F5*$F$4*20))</f>
        <v/>
      </c>
      <c r="AP5" s="20">
        <f>IF(AN5="NE","~",IF(AN5="","",""))</f>
        <v/>
      </c>
      <c r="AQ5" s="18" t="n"/>
      <c r="AR5" s="19">
        <f>IF(AQ5="","",IF(AQ5="NE","",IF(AQ5="0",0,IF(AQ5="1",0.5,IF(AQ5="2",1,0)))*$F5*$F$4*20))</f>
        <v/>
      </c>
      <c r="AS5" s="20">
        <f>IF(AQ5="NE","~",IF(AQ5="","",""))</f>
        <v/>
      </c>
      <c r="AT5" s="18" t="n"/>
      <c r="AU5" s="19">
        <f>IF(AT5="","",IF(AT5="NE","",IF(AT5="0",0,IF(AT5="1",0.5,IF(AT5="2",1,0)))*$F5*$F$4*20))</f>
        <v/>
      </c>
      <c r="AV5" s="20">
        <f>IF(AT5="NE","~",IF(AT5="","",""))</f>
        <v/>
      </c>
      <c r="AW5" s="18" t="n"/>
      <c r="AX5" s="19">
        <f>IF(AW5="","",IF(AW5="NE","",IF(AW5="0",0,IF(AW5="1",0.5,IF(AW5="2",1,0)))*$F5*$F$4*20))</f>
        <v/>
      </c>
      <c r="AY5" s="20">
        <f>IF(AW5="NE","~",IF(AW5="","",""))</f>
        <v/>
      </c>
      <c r="AZ5" s="18" t="n"/>
      <c r="BA5" s="19">
        <f>IF(AZ5="","",IF(AZ5="NE","",IF(AZ5="0",0,IF(AZ5="1",0.5,IF(AZ5="2",1,0)))*$F5*$F$4*20))</f>
        <v/>
      </c>
      <c r="BB5" s="20">
        <f>IF(AZ5="NE","~",IF(AZ5="","",""))</f>
        <v/>
      </c>
      <c r="BC5" s="18" t="n"/>
      <c r="BD5" s="19">
        <f>IF(BC5="","",IF(BC5="NE","",IF(BC5="0",0,IF(BC5="1",0.5,IF(BC5="2",1,0)))*$F5*$F$4*20))</f>
        <v/>
      </c>
      <c r="BE5" s="20">
        <f>IF(BC5="NE","~",IF(BC5="","",""))</f>
        <v/>
      </c>
      <c r="BF5" s="18" t="n"/>
      <c r="BG5" s="19">
        <f>IF(BF5="","",IF(BF5="NE","",IF(BF5="0",0,IF(BF5="1",0.5,IF(BF5="2",1,0)))*$F5*$F$4*20))</f>
        <v/>
      </c>
      <c r="BH5" s="20">
        <f>IF(BF5="NE","~",IF(BF5="","",""))</f>
        <v/>
      </c>
      <c r="BI5" s="18" t="n"/>
      <c r="BJ5" s="19">
        <f>IF(BI5="","",IF(BI5="NE","",IF(BI5="0",0,IF(BI5="1",0.5,IF(BI5="2",1,0)))*$F5*$F$4*20))</f>
        <v/>
      </c>
      <c r="BK5" s="20">
        <f>IF(BI5="NE","~",IF(BI5="","",""))</f>
        <v/>
      </c>
      <c r="BL5" s="18" t="n"/>
      <c r="BM5" s="19">
        <f>IF(BL5="","",IF(BL5="NE","",IF(BL5="0",0,IF(BL5="1",0.5,IF(BL5="2",1,0)))*$F5*$F$4*20))</f>
        <v/>
      </c>
      <c r="BN5" s="20">
        <f>IF(BL5="NE","~",IF(BL5="","",""))</f>
        <v/>
      </c>
      <c r="BO5" s="18" t="n"/>
      <c r="BP5" s="19">
        <f>IF(BO5="","",IF(BO5="NE","",IF(BO5="0",0,IF(BO5="1",0.5,IF(BO5="2",1,0)))*$F5*$F$4*20))</f>
        <v/>
      </c>
      <c r="BQ5" s="20">
        <f>IF(BO5="NE","~",IF(BO5="","",""))</f>
        <v/>
      </c>
      <c r="BR5" s="18" t="n"/>
      <c r="BS5" s="19">
        <f>IF(BR5="","",IF(BR5="NE","",IF(BR5="0",0,IF(BR5="1",0.5,IF(BR5="2",1,0)))*$F5*$F$4*20))</f>
        <v/>
      </c>
      <c r="BT5" s="20">
        <f>IF(BR5="NE","~",IF(BR5="","",""))</f>
        <v/>
      </c>
      <c r="BU5" s="18" t="n"/>
      <c r="BV5" s="19">
        <f>IF(BU5="","",IF(BU5="NE","",IF(BU5="0",0,IF(BU5="1",0.5,IF(BU5="2",1,0)))*$F5*$F$4*20))</f>
        <v/>
      </c>
      <c r="BW5" s="20">
        <f>IF(BU5="NE","~",IF(BU5="","",""))</f>
        <v/>
      </c>
      <c r="BX5" s="18" t="n"/>
      <c r="BY5" s="19">
        <f>IF(BX5="","",IF(BX5="NE","",IF(BX5="0",0,IF(BX5="1",0.5,IF(BX5="2",1,0)))*$F5*$F$4*20))</f>
        <v/>
      </c>
      <c r="BZ5" s="20">
        <f>IF(BX5="NE","~",IF(BX5="","",""))</f>
        <v/>
      </c>
      <c r="CA5" s="18" t="n"/>
      <c r="CB5" s="19">
        <f>IF(CA5="","",IF(CA5="NE","",IF(CA5="0",0,IF(CA5="1",0.5,IF(CA5="2",1,0)))*$F5*$F$4*20))</f>
        <v/>
      </c>
      <c r="CC5" s="20">
        <f>IF(CA5="NE","~",IF(CA5="","",""))</f>
        <v/>
      </c>
      <c r="CD5" s="18" t="n"/>
      <c r="CE5" s="19">
        <f>IF(CD5="","",IF(CD5="NE","",IF(CD5="0",0,IF(CD5="1",0.5,IF(CD5="2",1,0)))*$F5*$F$4*20))</f>
        <v/>
      </c>
      <c r="CF5" s="20">
        <f>IF(CD5="NE","~",IF(CD5="","",""))</f>
        <v/>
      </c>
      <c r="CG5" s="18" t="n"/>
      <c r="CH5" s="19">
        <f>IF(CG5="","",IF(CG5="NE","",IF(CG5="0",0,IF(CG5="1",0.5,IF(CG5="2",1,0)))*$F5*$F$4*20))</f>
        <v/>
      </c>
      <c r="CI5" s="20">
        <f>IF(CG5="NE","~",IF(CG5="","",""))</f>
        <v/>
      </c>
      <c r="CJ5" s="18" t="n"/>
      <c r="CK5" s="19">
        <f>IF(CJ5="","",IF(CJ5="NE","",IF(CJ5="0",0,IF(CJ5="1",0.5,IF(CJ5="2",1,0)))*$F5*$F$4*20))</f>
        <v/>
      </c>
      <c r="CL5" s="20">
        <f>IF(CJ5="NE","~",IF(CJ5="","",""))</f>
        <v/>
      </c>
      <c r="CM5" s="18" t="n"/>
      <c r="CN5" s="19">
        <f>IF(CM5="","",IF(CM5="NE","",IF(CM5="0",0,IF(CM5="1",0.5,IF(CM5="2",1,0)))*$F5*$F$4*20))</f>
        <v/>
      </c>
      <c r="CO5" s="20">
        <f>IF(CM5="NE","~",IF(CM5="","",""))</f>
        <v/>
      </c>
      <c r="CP5" s="18" t="n"/>
      <c r="CQ5" s="19">
        <f>IF(CP5="","",IF(CP5="NE","",IF(CP5="0",0,IF(CP5="1",0.5,IF(CP5="2",1,0)))*$F5*$F$4*20))</f>
        <v/>
      </c>
      <c r="CR5" s="20">
        <f>IF(CP5="NE","~",IF(CP5="","",""))</f>
        <v/>
      </c>
    </row>
    <row r="6" ht="36" customHeight="1">
      <c r="A6" s="15" t="n">
        <v>2</v>
      </c>
      <c r="B6" s="15" t="inlineStr">
        <is>
          <t>P1</t>
        </is>
      </c>
      <c r="C6" s="15" t="inlineStr">
        <is>
          <t>Q1.1</t>
        </is>
      </c>
      <c r="D6" s="15" t="inlineStr">
        <is>
          <t>Critère</t>
        </is>
      </c>
      <c r="E6" s="16" t="inlineStr">
        <is>
          <t>Il faut construire une nouvelle station pour répondre à l'augmentation de population.</t>
        </is>
      </c>
      <c r="F6" s="17" t="n">
        <v>0.15</v>
      </c>
      <c r="G6" s="18" t="n"/>
      <c r="H6" s="19">
        <f>IF(G6="","",IF(G6="NE","",IF(G6="0",0,IF(G6="1",0.5,IF(G6="2",1,0)))*$F6*$F$4*20))</f>
        <v/>
      </c>
      <c r="I6" s="20">
        <f>IF(G6="NE","~",IF(G6="","",""))</f>
        <v/>
      </c>
      <c r="J6" s="18" t="n"/>
      <c r="K6" s="19">
        <f>IF(J6="","",IF(J6="NE","",IF(J6="0",0,IF(J6="1",0.5,IF(J6="2",1,0)))*$F6*$F$4*20))</f>
        <v/>
      </c>
      <c r="L6" s="20">
        <f>IF(J6="NE","~",IF(J6="","",""))</f>
        <v/>
      </c>
      <c r="M6" s="18" t="n"/>
      <c r="N6" s="19">
        <f>IF(M6="","",IF(M6="NE","",IF(M6="0",0,IF(M6="1",0.5,IF(M6="2",1,0)))*$F6*$F$4*20))</f>
        <v/>
      </c>
      <c r="O6" s="20">
        <f>IF(M6="NE","~",IF(M6="","",""))</f>
        <v/>
      </c>
      <c r="P6" s="18" t="n"/>
      <c r="Q6" s="19">
        <f>IF(P6="","",IF(P6="NE","",IF(P6="0",0,IF(P6="1",0.5,IF(P6="2",1,0)))*$F6*$F$4*20))</f>
        <v/>
      </c>
      <c r="R6" s="20">
        <f>IF(P6="NE","~",IF(P6="","",""))</f>
        <v/>
      </c>
      <c r="S6" s="18" t="n"/>
      <c r="T6" s="19">
        <f>IF(S6="","",IF(S6="NE","",IF(S6="0",0,IF(S6="1",0.5,IF(S6="2",1,0)))*$F6*$F$4*20))</f>
        <v/>
      </c>
      <c r="U6" s="20">
        <f>IF(S6="NE","~",IF(S6="","",""))</f>
        <v/>
      </c>
      <c r="V6" s="18" t="n"/>
      <c r="W6" s="19">
        <f>IF(V6="","",IF(V6="NE","",IF(V6="0",0,IF(V6="1",0.5,IF(V6="2",1,0)))*$F6*$F$4*20))</f>
        <v/>
      </c>
      <c r="X6" s="20">
        <f>IF(V6="NE","~",IF(V6="","",""))</f>
        <v/>
      </c>
      <c r="Y6" s="18" t="n"/>
      <c r="Z6" s="19">
        <f>IF(Y6="","",IF(Y6="NE","",IF(Y6="0",0,IF(Y6="1",0.5,IF(Y6="2",1,0)))*$F6*$F$4*20))</f>
        <v/>
      </c>
      <c r="AA6" s="20">
        <f>IF(Y6="NE","~",IF(Y6="","",""))</f>
        <v/>
      </c>
      <c r="AB6" s="18" t="n"/>
      <c r="AC6" s="19">
        <f>IF(AB6="","",IF(AB6="NE","",IF(AB6="0",0,IF(AB6="1",0.5,IF(AB6="2",1,0)))*$F6*$F$4*20))</f>
        <v/>
      </c>
      <c r="AD6" s="20">
        <f>IF(AB6="NE","~",IF(AB6="","",""))</f>
        <v/>
      </c>
      <c r="AE6" s="18" t="n"/>
      <c r="AF6" s="19">
        <f>IF(AE6="","",IF(AE6="NE","",IF(AE6="0",0,IF(AE6="1",0.5,IF(AE6="2",1,0)))*$F6*$F$4*20))</f>
        <v/>
      </c>
      <c r="AG6" s="20">
        <f>IF(AE6="NE","~",IF(AE6="","",""))</f>
        <v/>
      </c>
      <c r="AH6" s="18" t="n"/>
      <c r="AI6" s="19">
        <f>IF(AH6="","",IF(AH6="NE","",IF(AH6="0",0,IF(AH6="1",0.5,IF(AH6="2",1,0)))*$F6*$F$4*20))</f>
        <v/>
      </c>
      <c r="AJ6" s="20">
        <f>IF(AH6="NE","~",IF(AH6="","",""))</f>
        <v/>
      </c>
      <c r="AK6" s="18" t="n"/>
      <c r="AL6" s="19">
        <f>IF(AK6="","",IF(AK6="NE","",IF(AK6="0",0,IF(AK6="1",0.5,IF(AK6="2",1,0)))*$F6*$F$4*20))</f>
        <v/>
      </c>
      <c r="AM6" s="20">
        <f>IF(AK6="NE","~",IF(AK6="","",""))</f>
        <v/>
      </c>
      <c r="AN6" s="18" t="n"/>
      <c r="AO6" s="19">
        <f>IF(AN6="","",IF(AN6="NE","",IF(AN6="0",0,IF(AN6="1",0.5,IF(AN6="2",1,0)))*$F6*$F$4*20))</f>
        <v/>
      </c>
      <c r="AP6" s="20">
        <f>IF(AN6="NE","~",IF(AN6="","",""))</f>
        <v/>
      </c>
      <c r="AQ6" s="18" t="n"/>
      <c r="AR6" s="19">
        <f>IF(AQ6="","",IF(AQ6="NE","",IF(AQ6="0",0,IF(AQ6="1",0.5,IF(AQ6="2",1,0)))*$F6*$F$4*20))</f>
        <v/>
      </c>
      <c r="AS6" s="20">
        <f>IF(AQ6="NE","~",IF(AQ6="","",""))</f>
        <v/>
      </c>
      <c r="AT6" s="18" t="n"/>
      <c r="AU6" s="19">
        <f>IF(AT6="","",IF(AT6="NE","",IF(AT6="0",0,IF(AT6="1",0.5,IF(AT6="2",1,0)))*$F6*$F$4*20))</f>
        <v/>
      </c>
      <c r="AV6" s="20">
        <f>IF(AT6="NE","~",IF(AT6="","",""))</f>
        <v/>
      </c>
      <c r="AW6" s="18" t="n"/>
      <c r="AX6" s="19">
        <f>IF(AW6="","",IF(AW6="NE","",IF(AW6="0",0,IF(AW6="1",0.5,IF(AW6="2",1,0)))*$F6*$F$4*20))</f>
        <v/>
      </c>
      <c r="AY6" s="20">
        <f>IF(AW6="NE","~",IF(AW6="","",""))</f>
        <v/>
      </c>
      <c r="AZ6" s="18" t="n"/>
      <c r="BA6" s="19">
        <f>IF(AZ6="","",IF(AZ6="NE","",IF(AZ6="0",0,IF(AZ6="1",0.5,IF(AZ6="2",1,0)))*$F6*$F$4*20))</f>
        <v/>
      </c>
      <c r="BB6" s="20">
        <f>IF(AZ6="NE","~",IF(AZ6="","",""))</f>
        <v/>
      </c>
      <c r="BC6" s="18" t="n"/>
      <c r="BD6" s="19">
        <f>IF(BC6="","",IF(BC6="NE","",IF(BC6="0",0,IF(BC6="1",0.5,IF(BC6="2",1,0)))*$F6*$F$4*20))</f>
        <v/>
      </c>
      <c r="BE6" s="20">
        <f>IF(BC6="NE","~",IF(BC6="","",""))</f>
        <v/>
      </c>
      <c r="BF6" s="18" t="n"/>
      <c r="BG6" s="19">
        <f>IF(BF6="","",IF(BF6="NE","",IF(BF6="0",0,IF(BF6="1",0.5,IF(BF6="2",1,0)))*$F6*$F$4*20))</f>
        <v/>
      </c>
      <c r="BH6" s="20">
        <f>IF(BF6="NE","~",IF(BF6="","",""))</f>
        <v/>
      </c>
      <c r="BI6" s="18" t="n"/>
      <c r="BJ6" s="19">
        <f>IF(BI6="","",IF(BI6="NE","",IF(BI6="0",0,IF(BI6="1",0.5,IF(BI6="2",1,0)))*$F6*$F$4*20))</f>
        <v/>
      </c>
      <c r="BK6" s="20">
        <f>IF(BI6="NE","~",IF(BI6="","",""))</f>
        <v/>
      </c>
      <c r="BL6" s="18" t="n"/>
      <c r="BM6" s="19">
        <f>IF(BL6="","",IF(BL6="NE","",IF(BL6="0",0,IF(BL6="1",0.5,IF(BL6="2",1,0)))*$F6*$F$4*20))</f>
        <v/>
      </c>
      <c r="BN6" s="20">
        <f>IF(BL6="NE","~",IF(BL6="","",""))</f>
        <v/>
      </c>
      <c r="BO6" s="18" t="n"/>
      <c r="BP6" s="19">
        <f>IF(BO6="","",IF(BO6="NE","",IF(BO6="0",0,IF(BO6="1",0.5,IF(BO6="2",1,0)))*$F6*$F$4*20))</f>
        <v/>
      </c>
      <c r="BQ6" s="20">
        <f>IF(BO6="NE","~",IF(BO6="","",""))</f>
        <v/>
      </c>
      <c r="BR6" s="18" t="n"/>
      <c r="BS6" s="19">
        <f>IF(BR6="","",IF(BR6="NE","",IF(BR6="0",0,IF(BR6="1",0.5,IF(BR6="2",1,0)))*$F6*$F$4*20))</f>
        <v/>
      </c>
      <c r="BT6" s="20">
        <f>IF(BR6="NE","~",IF(BR6="","",""))</f>
        <v/>
      </c>
      <c r="BU6" s="18" t="n"/>
      <c r="BV6" s="19">
        <f>IF(BU6="","",IF(BU6="NE","",IF(BU6="0",0,IF(BU6="1",0.5,IF(BU6="2",1,0)))*$F6*$F$4*20))</f>
        <v/>
      </c>
      <c r="BW6" s="20">
        <f>IF(BU6="NE","~",IF(BU6="","",""))</f>
        <v/>
      </c>
      <c r="BX6" s="18" t="n"/>
      <c r="BY6" s="19">
        <f>IF(BX6="","",IF(BX6="NE","",IF(BX6="0",0,IF(BX6="1",0.5,IF(BX6="2",1,0)))*$F6*$F$4*20))</f>
        <v/>
      </c>
      <c r="BZ6" s="20">
        <f>IF(BX6="NE","~",IF(BX6="","",""))</f>
        <v/>
      </c>
      <c r="CA6" s="18" t="n"/>
      <c r="CB6" s="19">
        <f>IF(CA6="","",IF(CA6="NE","",IF(CA6="0",0,IF(CA6="1",0.5,IF(CA6="2",1,0)))*$F6*$F$4*20))</f>
        <v/>
      </c>
      <c r="CC6" s="20">
        <f>IF(CA6="NE","~",IF(CA6="","",""))</f>
        <v/>
      </c>
      <c r="CD6" s="18" t="n"/>
      <c r="CE6" s="19">
        <f>IF(CD6="","",IF(CD6="NE","",IF(CD6="0",0,IF(CD6="1",0.5,IF(CD6="2",1,0)))*$F6*$F$4*20))</f>
        <v/>
      </c>
      <c r="CF6" s="20">
        <f>IF(CD6="NE","~",IF(CD6="","",""))</f>
        <v/>
      </c>
      <c r="CG6" s="18" t="n"/>
      <c r="CH6" s="19">
        <f>IF(CG6="","",IF(CG6="NE","",IF(CG6="0",0,IF(CG6="1",0.5,IF(CG6="2",1,0)))*$F6*$F$4*20))</f>
        <v/>
      </c>
      <c r="CI6" s="20">
        <f>IF(CG6="NE","~",IF(CG6="","",""))</f>
        <v/>
      </c>
      <c r="CJ6" s="18" t="n"/>
      <c r="CK6" s="19">
        <f>IF(CJ6="","",IF(CJ6="NE","",IF(CJ6="0",0,IF(CJ6="1",0.5,IF(CJ6="2",1,0)))*$F6*$F$4*20))</f>
        <v/>
      </c>
      <c r="CL6" s="20">
        <f>IF(CJ6="NE","~",IF(CJ6="","",""))</f>
        <v/>
      </c>
      <c r="CM6" s="18" t="n"/>
      <c r="CN6" s="19">
        <f>IF(CM6="","",IF(CM6="NE","",IF(CM6="0",0,IF(CM6="1",0.5,IF(CM6="2",1,0)))*$F6*$F$4*20))</f>
        <v/>
      </c>
      <c r="CO6" s="20">
        <f>IF(CM6="NE","~",IF(CM6="","",""))</f>
        <v/>
      </c>
      <c r="CP6" s="18" t="n"/>
      <c r="CQ6" s="19">
        <f>IF(CP6="","",IF(CP6="NE","",IF(CP6="0",0,IF(CP6="1",0.5,IF(CP6="2",1,0)))*$F6*$F$4*20))</f>
        <v/>
      </c>
      <c r="CR6" s="20">
        <f>IF(CP6="NE","~",IF(CP6="","",""))</f>
        <v/>
      </c>
    </row>
    <row r="7" ht="36" customHeight="1">
      <c r="A7" s="15" t="n">
        <v>3</v>
      </c>
      <c r="B7" s="15" t="inlineStr">
        <is>
          <t>P1</t>
        </is>
      </c>
      <c r="C7" s="15" t="inlineStr">
        <is>
          <t>Q1.2</t>
        </is>
      </c>
      <c r="D7" s="15" t="inlineStr">
        <is>
          <t>Critère</t>
        </is>
      </c>
      <c r="E7" s="16" t="inlineStr">
        <is>
          <t>Justification : terrain près du Rhône, près du périphérique, point altimétrique bas, entouré de parc naturel (pas d'habitation proche).</t>
        </is>
      </c>
      <c r="F7" s="17" t="n">
        <v>0.15</v>
      </c>
      <c r="G7" s="18" t="n"/>
      <c r="H7" s="19">
        <f>IF(G7="","",IF(G7="NE","",IF(G7="0",0,IF(G7="1",0.5,IF(G7="2",1,0)))*$F7*$F$4*20))</f>
        <v/>
      </c>
      <c r="I7" s="20">
        <f>IF(G7="NE","~",IF(G7="","",""))</f>
        <v/>
      </c>
      <c r="J7" s="18" t="n"/>
      <c r="K7" s="19">
        <f>IF(J7="","",IF(J7="NE","",IF(J7="0",0,IF(J7="1",0.5,IF(J7="2",1,0)))*$F7*$F$4*20))</f>
        <v/>
      </c>
      <c r="L7" s="20">
        <f>IF(J7="NE","~",IF(J7="","",""))</f>
        <v/>
      </c>
      <c r="M7" s="18" t="n"/>
      <c r="N7" s="19">
        <f>IF(M7="","",IF(M7="NE","",IF(M7="0",0,IF(M7="1",0.5,IF(M7="2",1,0)))*$F7*$F$4*20))</f>
        <v/>
      </c>
      <c r="O7" s="20">
        <f>IF(M7="NE","~",IF(M7="","",""))</f>
        <v/>
      </c>
      <c r="P7" s="18" t="n"/>
      <c r="Q7" s="19">
        <f>IF(P7="","",IF(P7="NE","",IF(P7="0",0,IF(P7="1",0.5,IF(P7="2",1,0)))*$F7*$F$4*20))</f>
        <v/>
      </c>
      <c r="R7" s="20">
        <f>IF(P7="NE","~",IF(P7="","",""))</f>
        <v/>
      </c>
      <c r="S7" s="18" t="n"/>
      <c r="T7" s="19">
        <f>IF(S7="","",IF(S7="NE","",IF(S7="0",0,IF(S7="1",0.5,IF(S7="2",1,0)))*$F7*$F$4*20))</f>
        <v/>
      </c>
      <c r="U7" s="20">
        <f>IF(S7="NE","~",IF(S7="","",""))</f>
        <v/>
      </c>
      <c r="V7" s="18" t="n"/>
      <c r="W7" s="19">
        <f>IF(V7="","",IF(V7="NE","",IF(V7="0",0,IF(V7="1",0.5,IF(V7="2",1,0)))*$F7*$F$4*20))</f>
        <v/>
      </c>
      <c r="X7" s="20">
        <f>IF(V7="NE","~",IF(V7="","",""))</f>
        <v/>
      </c>
      <c r="Y7" s="18" t="n"/>
      <c r="Z7" s="19">
        <f>IF(Y7="","",IF(Y7="NE","",IF(Y7="0",0,IF(Y7="1",0.5,IF(Y7="2",1,0)))*$F7*$F$4*20))</f>
        <v/>
      </c>
      <c r="AA7" s="20">
        <f>IF(Y7="NE","~",IF(Y7="","",""))</f>
        <v/>
      </c>
      <c r="AB7" s="18" t="n"/>
      <c r="AC7" s="19">
        <f>IF(AB7="","",IF(AB7="NE","",IF(AB7="0",0,IF(AB7="1",0.5,IF(AB7="2",1,0)))*$F7*$F$4*20))</f>
        <v/>
      </c>
      <c r="AD7" s="20">
        <f>IF(AB7="NE","~",IF(AB7="","",""))</f>
        <v/>
      </c>
      <c r="AE7" s="18" t="n"/>
      <c r="AF7" s="19">
        <f>IF(AE7="","",IF(AE7="NE","",IF(AE7="0",0,IF(AE7="1",0.5,IF(AE7="2",1,0)))*$F7*$F$4*20))</f>
        <v/>
      </c>
      <c r="AG7" s="20">
        <f>IF(AE7="NE","~",IF(AE7="","",""))</f>
        <v/>
      </c>
      <c r="AH7" s="18" t="n"/>
      <c r="AI7" s="19">
        <f>IF(AH7="","",IF(AH7="NE","",IF(AH7="0",0,IF(AH7="1",0.5,IF(AH7="2",1,0)))*$F7*$F$4*20))</f>
        <v/>
      </c>
      <c r="AJ7" s="20">
        <f>IF(AH7="NE","~",IF(AH7="","",""))</f>
        <v/>
      </c>
      <c r="AK7" s="18" t="n"/>
      <c r="AL7" s="19">
        <f>IF(AK7="","",IF(AK7="NE","",IF(AK7="0",0,IF(AK7="1",0.5,IF(AK7="2",1,0)))*$F7*$F$4*20))</f>
        <v/>
      </c>
      <c r="AM7" s="20">
        <f>IF(AK7="NE","~",IF(AK7="","",""))</f>
        <v/>
      </c>
      <c r="AN7" s="18" t="n"/>
      <c r="AO7" s="19">
        <f>IF(AN7="","",IF(AN7="NE","",IF(AN7="0",0,IF(AN7="1",0.5,IF(AN7="2",1,0)))*$F7*$F$4*20))</f>
        <v/>
      </c>
      <c r="AP7" s="20">
        <f>IF(AN7="NE","~",IF(AN7="","",""))</f>
        <v/>
      </c>
      <c r="AQ7" s="18" t="n"/>
      <c r="AR7" s="19">
        <f>IF(AQ7="","",IF(AQ7="NE","",IF(AQ7="0",0,IF(AQ7="1",0.5,IF(AQ7="2",1,0)))*$F7*$F$4*20))</f>
        <v/>
      </c>
      <c r="AS7" s="20">
        <f>IF(AQ7="NE","~",IF(AQ7="","",""))</f>
        <v/>
      </c>
      <c r="AT7" s="18" t="n"/>
      <c r="AU7" s="19">
        <f>IF(AT7="","",IF(AT7="NE","",IF(AT7="0",0,IF(AT7="1",0.5,IF(AT7="2",1,0)))*$F7*$F$4*20))</f>
        <v/>
      </c>
      <c r="AV7" s="20">
        <f>IF(AT7="NE","~",IF(AT7="","",""))</f>
        <v/>
      </c>
      <c r="AW7" s="18" t="n"/>
      <c r="AX7" s="19">
        <f>IF(AW7="","",IF(AW7="NE","",IF(AW7="0",0,IF(AW7="1",0.5,IF(AW7="2",1,0)))*$F7*$F$4*20))</f>
        <v/>
      </c>
      <c r="AY7" s="20">
        <f>IF(AW7="NE","~",IF(AW7="","",""))</f>
        <v/>
      </c>
      <c r="AZ7" s="18" t="n"/>
      <c r="BA7" s="19">
        <f>IF(AZ7="","",IF(AZ7="NE","",IF(AZ7="0",0,IF(AZ7="1",0.5,IF(AZ7="2",1,0)))*$F7*$F$4*20))</f>
        <v/>
      </c>
      <c r="BB7" s="20">
        <f>IF(AZ7="NE","~",IF(AZ7="","",""))</f>
        <v/>
      </c>
      <c r="BC7" s="18" t="n"/>
      <c r="BD7" s="19">
        <f>IF(BC7="","",IF(BC7="NE","",IF(BC7="0",0,IF(BC7="1",0.5,IF(BC7="2",1,0)))*$F7*$F$4*20))</f>
        <v/>
      </c>
      <c r="BE7" s="20">
        <f>IF(BC7="NE","~",IF(BC7="","",""))</f>
        <v/>
      </c>
      <c r="BF7" s="18" t="n"/>
      <c r="BG7" s="19">
        <f>IF(BF7="","",IF(BF7="NE","",IF(BF7="0",0,IF(BF7="1",0.5,IF(BF7="2",1,0)))*$F7*$F$4*20))</f>
        <v/>
      </c>
      <c r="BH7" s="20">
        <f>IF(BF7="NE","~",IF(BF7="","",""))</f>
        <v/>
      </c>
      <c r="BI7" s="18" t="n"/>
      <c r="BJ7" s="19">
        <f>IF(BI7="","",IF(BI7="NE","",IF(BI7="0",0,IF(BI7="1",0.5,IF(BI7="2",1,0)))*$F7*$F$4*20))</f>
        <v/>
      </c>
      <c r="BK7" s="20">
        <f>IF(BI7="NE","~",IF(BI7="","",""))</f>
        <v/>
      </c>
      <c r="BL7" s="18" t="n"/>
      <c r="BM7" s="19">
        <f>IF(BL7="","",IF(BL7="NE","",IF(BL7="0",0,IF(BL7="1",0.5,IF(BL7="2",1,0)))*$F7*$F$4*20))</f>
        <v/>
      </c>
      <c r="BN7" s="20">
        <f>IF(BL7="NE","~",IF(BL7="","",""))</f>
        <v/>
      </c>
      <c r="BO7" s="18" t="n"/>
      <c r="BP7" s="19">
        <f>IF(BO7="","",IF(BO7="NE","",IF(BO7="0",0,IF(BO7="1",0.5,IF(BO7="2",1,0)))*$F7*$F$4*20))</f>
        <v/>
      </c>
      <c r="BQ7" s="20">
        <f>IF(BO7="NE","~",IF(BO7="","",""))</f>
        <v/>
      </c>
      <c r="BR7" s="18" t="n"/>
      <c r="BS7" s="19">
        <f>IF(BR7="","",IF(BR7="NE","",IF(BR7="0",0,IF(BR7="1",0.5,IF(BR7="2",1,0)))*$F7*$F$4*20))</f>
        <v/>
      </c>
      <c r="BT7" s="20">
        <f>IF(BR7="NE","~",IF(BR7="","",""))</f>
        <v/>
      </c>
      <c r="BU7" s="18" t="n"/>
      <c r="BV7" s="19">
        <f>IF(BU7="","",IF(BU7="NE","",IF(BU7="0",0,IF(BU7="1",0.5,IF(BU7="2",1,0)))*$F7*$F$4*20))</f>
        <v/>
      </c>
      <c r="BW7" s="20">
        <f>IF(BU7="NE","~",IF(BU7="","",""))</f>
        <v/>
      </c>
      <c r="BX7" s="18" t="n"/>
      <c r="BY7" s="19">
        <f>IF(BX7="","",IF(BX7="NE","",IF(BX7="0",0,IF(BX7="1",0.5,IF(BX7="2",1,0)))*$F7*$F$4*20))</f>
        <v/>
      </c>
      <c r="BZ7" s="20">
        <f>IF(BX7="NE","~",IF(BX7="","",""))</f>
        <v/>
      </c>
      <c r="CA7" s="18" t="n"/>
      <c r="CB7" s="19">
        <f>IF(CA7="","",IF(CA7="NE","",IF(CA7="0",0,IF(CA7="1",0.5,IF(CA7="2",1,0)))*$F7*$F$4*20))</f>
        <v/>
      </c>
      <c r="CC7" s="20">
        <f>IF(CA7="NE","~",IF(CA7="","",""))</f>
        <v/>
      </c>
      <c r="CD7" s="18" t="n"/>
      <c r="CE7" s="19">
        <f>IF(CD7="","",IF(CD7="NE","",IF(CD7="0",0,IF(CD7="1",0.5,IF(CD7="2",1,0)))*$F7*$F$4*20))</f>
        <v/>
      </c>
      <c r="CF7" s="20">
        <f>IF(CD7="NE","~",IF(CD7="","",""))</f>
        <v/>
      </c>
      <c r="CG7" s="18" t="n"/>
      <c r="CH7" s="19">
        <f>IF(CG7="","",IF(CG7="NE","",IF(CG7="0",0,IF(CG7="1",0.5,IF(CG7="2",1,0)))*$F7*$F$4*20))</f>
        <v/>
      </c>
      <c r="CI7" s="20">
        <f>IF(CG7="NE","~",IF(CG7="","",""))</f>
        <v/>
      </c>
      <c r="CJ7" s="18" t="n"/>
      <c r="CK7" s="19">
        <f>IF(CJ7="","",IF(CJ7="NE","",IF(CJ7="0",0,IF(CJ7="1",0.5,IF(CJ7="2",1,0)))*$F7*$F$4*20))</f>
        <v/>
      </c>
      <c r="CL7" s="20">
        <f>IF(CJ7="NE","~",IF(CJ7="","",""))</f>
        <v/>
      </c>
      <c r="CM7" s="18" t="n"/>
      <c r="CN7" s="19">
        <f>IF(CM7="","",IF(CM7="NE","",IF(CM7="0",0,IF(CM7="1",0.5,IF(CM7="2",1,0)))*$F7*$F$4*20))</f>
        <v/>
      </c>
      <c r="CO7" s="20">
        <f>IF(CM7="NE","~",IF(CM7="","",""))</f>
        <v/>
      </c>
      <c r="CP7" s="18" t="n"/>
      <c r="CQ7" s="19">
        <f>IF(CP7="","",IF(CP7="NE","",IF(CP7="0",0,IF(CP7="1",0.5,IF(CP7="2",1,0)))*$F7*$F$4*20))</f>
        <v/>
      </c>
      <c r="CR7" s="20">
        <f>IF(CP7="NE","~",IF(CP7="","",""))</f>
        <v/>
      </c>
    </row>
    <row r="8" ht="36" customHeight="1">
      <c r="A8" s="15" t="n">
        <v>4</v>
      </c>
      <c r="B8" s="15" t="inlineStr">
        <is>
          <t>P1</t>
        </is>
      </c>
      <c r="C8" s="15" t="inlineStr">
        <is>
          <t>Q1.3</t>
        </is>
      </c>
      <c r="D8" s="15" t="inlineStr">
        <is>
          <t>Critère</t>
        </is>
      </c>
      <c r="E8" s="16" t="inlineStr">
        <is>
          <t>Surface lit roseaux = 10 m²/EqHab × 300 000 = 3 000 000 m² (300 ha).</t>
        </is>
      </c>
      <c r="F8" s="17" t="n">
        <v>0.15</v>
      </c>
      <c r="G8" s="18" t="n"/>
      <c r="H8" s="19">
        <f>IF(G8="","",IF(G8="NE","",IF(G8="0",0,IF(G8="1",0.5,IF(G8="2",1,0)))*$F8*$F$4*20))</f>
        <v/>
      </c>
      <c r="I8" s="20">
        <f>IF(G8="NE","~",IF(G8="","",""))</f>
        <v/>
      </c>
      <c r="J8" s="18" t="n"/>
      <c r="K8" s="19">
        <f>IF(J8="","",IF(J8="NE","",IF(J8="0",0,IF(J8="1",0.5,IF(J8="2",1,0)))*$F8*$F$4*20))</f>
        <v/>
      </c>
      <c r="L8" s="20">
        <f>IF(J8="NE","~",IF(J8="","",""))</f>
        <v/>
      </c>
      <c r="M8" s="18" t="n"/>
      <c r="N8" s="19">
        <f>IF(M8="","",IF(M8="NE","",IF(M8="0",0,IF(M8="1",0.5,IF(M8="2",1,0)))*$F8*$F$4*20))</f>
        <v/>
      </c>
      <c r="O8" s="20">
        <f>IF(M8="NE","~",IF(M8="","",""))</f>
        <v/>
      </c>
      <c r="P8" s="18" t="n"/>
      <c r="Q8" s="19">
        <f>IF(P8="","",IF(P8="NE","",IF(P8="0",0,IF(P8="1",0.5,IF(P8="2",1,0)))*$F8*$F$4*20))</f>
        <v/>
      </c>
      <c r="R8" s="20">
        <f>IF(P8="NE","~",IF(P8="","",""))</f>
        <v/>
      </c>
      <c r="S8" s="18" t="n"/>
      <c r="T8" s="19">
        <f>IF(S8="","",IF(S8="NE","",IF(S8="0",0,IF(S8="1",0.5,IF(S8="2",1,0)))*$F8*$F$4*20))</f>
        <v/>
      </c>
      <c r="U8" s="20">
        <f>IF(S8="NE","~",IF(S8="","",""))</f>
        <v/>
      </c>
      <c r="V8" s="18" t="n"/>
      <c r="W8" s="19">
        <f>IF(V8="","",IF(V8="NE","",IF(V8="0",0,IF(V8="1",0.5,IF(V8="2",1,0)))*$F8*$F$4*20))</f>
        <v/>
      </c>
      <c r="X8" s="20">
        <f>IF(V8="NE","~",IF(V8="","",""))</f>
        <v/>
      </c>
      <c r="Y8" s="18" t="n"/>
      <c r="Z8" s="19">
        <f>IF(Y8="","",IF(Y8="NE","",IF(Y8="0",0,IF(Y8="1",0.5,IF(Y8="2",1,0)))*$F8*$F$4*20))</f>
        <v/>
      </c>
      <c r="AA8" s="20">
        <f>IF(Y8="NE","~",IF(Y8="","",""))</f>
        <v/>
      </c>
      <c r="AB8" s="18" t="n"/>
      <c r="AC8" s="19">
        <f>IF(AB8="","",IF(AB8="NE","",IF(AB8="0",0,IF(AB8="1",0.5,IF(AB8="2",1,0)))*$F8*$F$4*20))</f>
        <v/>
      </c>
      <c r="AD8" s="20">
        <f>IF(AB8="NE","~",IF(AB8="","",""))</f>
        <v/>
      </c>
      <c r="AE8" s="18" t="n"/>
      <c r="AF8" s="19">
        <f>IF(AE8="","",IF(AE8="NE","",IF(AE8="0",0,IF(AE8="1",0.5,IF(AE8="2",1,0)))*$F8*$F$4*20))</f>
        <v/>
      </c>
      <c r="AG8" s="20">
        <f>IF(AE8="NE","~",IF(AE8="","",""))</f>
        <v/>
      </c>
      <c r="AH8" s="18" t="n"/>
      <c r="AI8" s="19">
        <f>IF(AH8="","",IF(AH8="NE","",IF(AH8="0",0,IF(AH8="1",0.5,IF(AH8="2",1,0)))*$F8*$F$4*20))</f>
        <v/>
      </c>
      <c r="AJ8" s="20">
        <f>IF(AH8="NE","~",IF(AH8="","",""))</f>
        <v/>
      </c>
      <c r="AK8" s="18" t="n"/>
      <c r="AL8" s="19">
        <f>IF(AK8="","",IF(AK8="NE","",IF(AK8="0",0,IF(AK8="1",0.5,IF(AK8="2",1,0)))*$F8*$F$4*20))</f>
        <v/>
      </c>
      <c r="AM8" s="20">
        <f>IF(AK8="NE","~",IF(AK8="","",""))</f>
        <v/>
      </c>
      <c r="AN8" s="18" t="n"/>
      <c r="AO8" s="19">
        <f>IF(AN8="","",IF(AN8="NE","",IF(AN8="0",0,IF(AN8="1",0.5,IF(AN8="2",1,0)))*$F8*$F$4*20))</f>
        <v/>
      </c>
      <c r="AP8" s="20">
        <f>IF(AN8="NE","~",IF(AN8="","",""))</f>
        <v/>
      </c>
      <c r="AQ8" s="18" t="n"/>
      <c r="AR8" s="19">
        <f>IF(AQ8="","",IF(AQ8="NE","",IF(AQ8="0",0,IF(AQ8="1",0.5,IF(AQ8="2",1,0)))*$F8*$F$4*20))</f>
        <v/>
      </c>
      <c r="AS8" s="20">
        <f>IF(AQ8="NE","~",IF(AQ8="","",""))</f>
        <v/>
      </c>
      <c r="AT8" s="18" t="n"/>
      <c r="AU8" s="19">
        <f>IF(AT8="","",IF(AT8="NE","",IF(AT8="0",0,IF(AT8="1",0.5,IF(AT8="2",1,0)))*$F8*$F$4*20))</f>
        <v/>
      </c>
      <c r="AV8" s="20">
        <f>IF(AT8="NE","~",IF(AT8="","",""))</f>
        <v/>
      </c>
      <c r="AW8" s="18" t="n"/>
      <c r="AX8" s="19">
        <f>IF(AW8="","",IF(AW8="NE","",IF(AW8="0",0,IF(AW8="1",0.5,IF(AW8="2",1,0)))*$F8*$F$4*20))</f>
        <v/>
      </c>
      <c r="AY8" s="20">
        <f>IF(AW8="NE","~",IF(AW8="","",""))</f>
        <v/>
      </c>
      <c r="AZ8" s="18" t="n"/>
      <c r="BA8" s="19">
        <f>IF(AZ8="","",IF(AZ8="NE","",IF(AZ8="0",0,IF(AZ8="1",0.5,IF(AZ8="2",1,0)))*$F8*$F$4*20))</f>
        <v/>
      </c>
      <c r="BB8" s="20">
        <f>IF(AZ8="NE","~",IF(AZ8="","",""))</f>
        <v/>
      </c>
      <c r="BC8" s="18" t="n"/>
      <c r="BD8" s="19">
        <f>IF(BC8="","",IF(BC8="NE","",IF(BC8="0",0,IF(BC8="1",0.5,IF(BC8="2",1,0)))*$F8*$F$4*20))</f>
        <v/>
      </c>
      <c r="BE8" s="20">
        <f>IF(BC8="NE","~",IF(BC8="","",""))</f>
        <v/>
      </c>
      <c r="BF8" s="18" t="n"/>
      <c r="BG8" s="19">
        <f>IF(BF8="","",IF(BF8="NE","",IF(BF8="0",0,IF(BF8="1",0.5,IF(BF8="2",1,0)))*$F8*$F$4*20))</f>
        <v/>
      </c>
      <c r="BH8" s="20">
        <f>IF(BF8="NE","~",IF(BF8="","",""))</f>
        <v/>
      </c>
      <c r="BI8" s="18" t="n"/>
      <c r="BJ8" s="19">
        <f>IF(BI8="","",IF(BI8="NE","",IF(BI8="0",0,IF(BI8="1",0.5,IF(BI8="2",1,0)))*$F8*$F$4*20))</f>
        <v/>
      </c>
      <c r="BK8" s="20">
        <f>IF(BI8="NE","~",IF(BI8="","",""))</f>
        <v/>
      </c>
      <c r="BL8" s="18" t="n"/>
      <c r="BM8" s="19">
        <f>IF(BL8="","",IF(BL8="NE","",IF(BL8="0",0,IF(BL8="1",0.5,IF(BL8="2",1,0)))*$F8*$F$4*20))</f>
        <v/>
      </c>
      <c r="BN8" s="20">
        <f>IF(BL8="NE","~",IF(BL8="","",""))</f>
        <v/>
      </c>
      <c r="BO8" s="18" t="n"/>
      <c r="BP8" s="19">
        <f>IF(BO8="","",IF(BO8="NE","",IF(BO8="0",0,IF(BO8="1",0.5,IF(BO8="2",1,0)))*$F8*$F$4*20))</f>
        <v/>
      </c>
      <c r="BQ8" s="20">
        <f>IF(BO8="NE","~",IF(BO8="","",""))</f>
        <v/>
      </c>
      <c r="BR8" s="18" t="n"/>
      <c r="BS8" s="19">
        <f>IF(BR8="","",IF(BR8="NE","",IF(BR8="0",0,IF(BR8="1",0.5,IF(BR8="2",1,0)))*$F8*$F$4*20))</f>
        <v/>
      </c>
      <c r="BT8" s="20">
        <f>IF(BR8="NE","~",IF(BR8="","",""))</f>
        <v/>
      </c>
      <c r="BU8" s="18" t="n"/>
      <c r="BV8" s="19">
        <f>IF(BU8="","",IF(BU8="NE","",IF(BU8="0",0,IF(BU8="1",0.5,IF(BU8="2",1,0)))*$F8*$F$4*20))</f>
        <v/>
      </c>
      <c r="BW8" s="20">
        <f>IF(BU8="NE","~",IF(BU8="","",""))</f>
        <v/>
      </c>
      <c r="BX8" s="18" t="n"/>
      <c r="BY8" s="19">
        <f>IF(BX8="","",IF(BX8="NE","",IF(BX8="0",0,IF(BX8="1",0.5,IF(BX8="2",1,0)))*$F8*$F$4*20))</f>
        <v/>
      </c>
      <c r="BZ8" s="20">
        <f>IF(BX8="NE","~",IF(BX8="","",""))</f>
        <v/>
      </c>
      <c r="CA8" s="18" t="n"/>
      <c r="CB8" s="19">
        <f>IF(CA8="","",IF(CA8="NE","",IF(CA8="0",0,IF(CA8="1",0.5,IF(CA8="2",1,0)))*$F8*$F$4*20))</f>
        <v/>
      </c>
      <c r="CC8" s="20">
        <f>IF(CA8="NE","~",IF(CA8="","",""))</f>
        <v/>
      </c>
      <c r="CD8" s="18" t="n"/>
      <c r="CE8" s="19">
        <f>IF(CD8="","",IF(CD8="NE","",IF(CD8="0",0,IF(CD8="1",0.5,IF(CD8="2",1,0)))*$F8*$F$4*20))</f>
        <v/>
      </c>
      <c r="CF8" s="20">
        <f>IF(CD8="NE","~",IF(CD8="","",""))</f>
        <v/>
      </c>
      <c r="CG8" s="18" t="n"/>
      <c r="CH8" s="19">
        <f>IF(CG8="","",IF(CG8="NE","",IF(CG8="0",0,IF(CG8="1",0.5,IF(CG8="2",1,0)))*$F8*$F$4*20))</f>
        <v/>
      </c>
      <c r="CI8" s="20">
        <f>IF(CG8="NE","~",IF(CG8="","",""))</f>
        <v/>
      </c>
      <c r="CJ8" s="18" t="n"/>
      <c r="CK8" s="19">
        <f>IF(CJ8="","",IF(CJ8="NE","",IF(CJ8="0",0,IF(CJ8="1",0.5,IF(CJ8="2",1,0)))*$F8*$F$4*20))</f>
        <v/>
      </c>
      <c r="CL8" s="20">
        <f>IF(CJ8="NE","~",IF(CJ8="","",""))</f>
        <v/>
      </c>
      <c r="CM8" s="18" t="n"/>
      <c r="CN8" s="19">
        <f>IF(CM8="","",IF(CM8="NE","",IF(CM8="0",0,IF(CM8="1",0.5,IF(CM8="2",1,0)))*$F8*$F$4*20))</f>
        <v/>
      </c>
      <c r="CO8" s="20">
        <f>IF(CM8="NE","~",IF(CM8="","",""))</f>
        <v/>
      </c>
      <c r="CP8" s="18" t="n"/>
      <c r="CQ8" s="19">
        <f>IF(CP8="","",IF(CP8="NE","",IF(CP8="0",0,IF(CP8="1",0.5,IF(CP8="2",1,0)))*$F8*$F$4*20))</f>
        <v/>
      </c>
      <c r="CR8" s="20">
        <f>IF(CP8="NE","~",IF(CP8="","",""))</f>
        <v/>
      </c>
    </row>
    <row r="9" ht="36" customHeight="1">
      <c r="A9" s="15" t="n">
        <v>5</v>
      </c>
      <c r="B9" s="15" t="inlineStr">
        <is>
          <t>P1</t>
        </is>
      </c>
      <c r="C9" s="15" t="inlineStr">
        <is>
          <t>Q1.3</t>
        </is>
      </c>
      <c r="D9" s="15" t="inlineStr">
        <is>
          <t>Critère</t>
        </is>
      </c>
      <c r="E9" s="16" t="inlineStr">
        <is>
          <t>Conso énergie Boue Activée = 3,2 kWh/kgDBO5 × 17 100 = 54 720 kWh.</t>
        </is>
      </c>
      <c r="F9" s="17" t="n">
        <v>0.15</v>
      </c>
      <c r="G9" s="18" t="n"/>
      <c r="H9" s="19">
        <f>IF(G9="","",IF(G9="NE","",IF(G9="0",0,IF(G9="1",0.5,IF(G9="2",1,0)))*$F9*$F$4*20))</f>
        <v/>
      </c>
      <c r="I9" s="20">
        <f>IF(G9="NE","~",IF(G9="","",""))</f>
        <v/>
      </c>
      <c r="J9" s="18" t="n"/>
      <c r="K9" s="19">
        <f>IF(J9="","",IF(J9="NE","",IF(J9="0",0,IF(J9="1",0.5,IF(J9="2",1,0)))*$F9*$F$4*20))</f>
        <v/>
      </c>
      <c r="L9" s="20">
        <f>IF(J9="NE","~",IF(J9="","",""))</f>
        <v/>
      </c>
      <c r="M9" s="18" t="n"/>
      <c r="N9" s="19">
        <f>IF(M9="","",IF(M9="NE","",IF(M9="0",0,IF(M9="1",0.5,IF(M9="2",1,0)))*$F9*$F$4*20))</f>
        <v/>
      </c>
      <c r="O9" s="20">
        <f>IF(M9="NE","~",IF(M9="","",""))</f>
        <v/>
      </c>
      <c r="P9" s="18" t="n"/>
      <c r="Q9" s="19">
        <f>IF(P9="","",IF(P9="NE","",IF(P9="0",0,IF(P9="1",0.5,IF(P9="2",1,0)))*$F9*$F$4*20))</f>
        <v/>
      </c>
      <c r="R9" s="20">
        <f>IF(P9="NE","~",IF(P9="","",""))</f>
        <v/>
      </c>
      <c r="S9" s="18" t="n"/>
      <c r="T9" s="19">
        <f>IF(S9="","",IF(S9="NE","",IF(S9="0",0,IF(S9="1",0.5,IF(S9="2",1,0)))*$F9*$F$4*20))</f>
        <v/>
      </c>
      <c r="U9" s="20">
        <f>IF(S9="NE","~",IF(S9="","",""))</f>
        <v/>
      </c>
      <c r="V9" s="18" t="n"/>
      <c r="W9" s="19">
        <f>IF(V9="","",IF(V9="NE","",IF(V9="0",0,IF(V9="1",0.5,IF(V9="2",1,0)))*$F9*$F$4*20))</f>
        <v/>
      </c>
      <c r="X9" s="20">
        <f>IF(V9="NE","~",IF(V9="","",""))</f>
        <v/>
      </c>
      <c r="Y9" s="18" t="n"/>
      <c r="Z9" s="19">
        <f>IF(Y9="","",IF(Y9="NE","",IF(Y9="0",0,IF(Y9="1",0.5,IF(Y9="2",1,0)))*$F9*$F$4*20))</f>
        <v/>
      </c>
      <c r="AA9" s="20">
        <f>IF(Y9="NE","~",IF(Y9="","",""))</f>
        <v/>
      </c>
      <c r="AB9" s="18" t="n"/>
      <c r="AC9" s="19">
        <f>IF(AB9="","",IF(AB9="NE","",IF(AB9="0",0,IF(AB9="1",0.5,IF(AB9="2",1,0)))*$F9*$F$4*20))</f>
        <v/>
      </c>
      <c r="AD9" s="20">
        <f>IF(AB9="NE","~",IF(AB9="","",""))</f>
        <v/>
      </c>
      <c r="AE9" s="18" t="n"/>
      <c r="AF9" s="19">
        <f>IF(AE9="","",IF(AE9="NE","",IF(AE9="0",0,IF(AE9="1",0.5,IF(AE9="2",1,0)))*$F9*$F$4*20))</f>
        <v/>
      </c>
      <c r="AG9" s="20">
        <f>IF(AE9="NE","~",IF(AE9="","",""))</f>
        <v/>
      </c>
      <c r="AH9" s="18" t="n"/>
      <c r="AI9" s="19">
        <f>IF(AH9="","",IF(AH9="NE","",IF(AH9="0",0,IF(AH9="1",0.5,IF(AH9="2",1,0)))*$F9*$F$4*20))</f>
        <v/>
      </c>
      <c r="AJ9" s="20">
        <f>IF(AH9="NE","~",IF(AH9="","",""))</f>
        <v/>
      </c>
      <c r="AK9" s="18" t="n"/>
      <c r="AL9" s="19">
        <f>IF(AK9="","",IF(AK9="NE","",IF(AK9="0",0,IF(AK9="1",0.5,IF(AK9="2",1,0)))*$F9*$F$4*20))</f>
        <v/>
      </c>
      <c r="AM9" s="20">
        <f>IF(AK9="NE","~",IF(AK9="","",""))</f>
        <v/>
      </c>
      <c r="AN9" s="18" t="n"/>
      <c r="AO9" s="19">
        <f>IF(AN9="","",IF(AN9="NE","",IF(AN9="0",0,IF(AN9="1",0.5,IF(AN9="2",1,0)))*$F9*$F$4*20))</f>
        <v/>
      </c>
      <c r="AP9" s="20">
        <f>IF(AN9="NE","~",IF(AN9="","",""))</f>
        <v/>
      </c>
      <c r="AQ9" s="18" t="n"/>
      <c r="AR9" s="19">
        <f>IF(AQ9="","",IF(AQ9="NE","",IF(AQ9="0",0,IF(AQ9="1",0.5,IF(AQ9="2",1,0)))*$F9*$F$4*20))</f>
        <v/>
      </c>
      <c r="AS9" s="20">
        <f>IF(AQ9="NE","~",IF(AQ9="","",""))</f>
        <v/>
      </c>
      <c r="AT9" s="18" t="n"/>
      <c r="AU9" s="19">
        <f>IF(AT9="","",IF(AT9="NE","",IF(AT9="0",0,IF(AT9="1",0.5,IF(AT9="2",1,0)))*$F9*$F$4*20))</f>
        <v/>
      </c>
      <c r="AV9" s="20">
        <f>IF(AT9="NE","~",IF(AT9="","",""))</f>
        <v/>
      </c>
      <c r="AW9" s="18" t="n"/>
      <c r="AX9" s="19">
        <f>IF(AW9="","",IF(AW9="NE","",IF(AW9="0",0,IF(AW9="1",0.5,IF(AW9="2",1,0)))*$F9*$F$4*20))</f>
        <v/>
      </c>
      <c r="AY9" s="20">
        <f>IF(AW9="NE","~",IF(AW9="","",""))</f>
        <v/>
      </c>
      <c r="AZ9" s="18" t="n"/>
      <c r="BA9" s="19">
        <f>IF(AZ9="","",IF(AZ9="NE","",IF(AZ9="0",0,IF(AZ9="1",0.5,IF(AZ9="2",1,0)))*$F9*$F$4*20))</f>
        <v/>
      </c>
      <c r="BB9" s="20">
        <f>IF(AZ9="NE","~",IF(AZ9="","",""))</f>
        <v/>
      </c>
      <c r="BC9" s="18" t="n"/>
      <c r="BD9" s="19">
        <f>IF(BC9="","",IF(BC9="NE","",IF(BC9="0",0,IF(BC9="1",0.5,IF(BC9="2",1,0)))*$F9*$F$4*20))</f>
        <v/>
      </c>
      <c r="BE9" s="20">
        <f>IF(BC9="NE","~",IF(BC9="","",""))</f>
        <v/>
      </c>
      <c r="BF9" s="18" t="n"/>
      <c r="BG9" s="19">
        <f>IF(BF9="","",IF(BF9="NE","",IF(BF9="0",0,IF(BF9="1",0.5,IF(BF9="2",1,0)))*$F9*$F$4*20))</f>
        <v/>
      </c>
      <c r="BH9" s="20">
        <f>IF(BF9="NE","~",IF(BF9="","",""))</f>
        <v/>
      </c>
      <c r="BI9" s="18" t="n"/>
      <c r="BJ9" s="19">
        <f>IF(BI9="","",IF(BI9="NE","",IF(BI9="0",0,IF(BI9="1",0.5,IF(BI9="2",1,0)))*$F9*$F$4*20))</f>
        <v/>
      </c>
      <c r="BK9" s="20">
        <f>IF(BI9="NE","~",IF(BI9="","",""))</f>
        <v/>
      </c>
      <c r="BL9" s="18" t="n"/>
      <c r="BM9" s="19">
        <f>IF(BL9="","",IF(BL9="NE","",IF(BL9="0",0,IF(BL9="1",0.5,IF(BL9="2",1,0)))*$F9*$F$4*20))</f>
        <v/>
      </c>
      <c r="BN9" s="20">
        <f>IF(BL9="NE","~",IF(BL9="","",""))</f>
        <v/>
      </c>
      <c r="BO9" s="18" t="n"/>
      <c r="BP9" s="19">
        <f>IF(BO9="","",IF(BO9="NE","",IF(BO9="0",0,IF(BO9="1",0.5,IF(BO9="2",1,0)))*$F9*$F$4*20))</f>
        <v/>
      </c>
      <c r="BQ9" s="20">
        <f>IF(BO9="NE","~",IF(BO9="","",""))</f>
        <v/>
      </c>
      <c r="BR9" s="18" t="n"/>
      <c r="BS9" s="19">
        <f>IF(BR9="","",IF(BR9="NE","",IF(BR9="0",0,IF(BR9="1",0.5,IF(BR9="2",1,0)))*$F9*$F$4*20))</f>
        <v/>
      </c>
      <c r="BT9" s="20">
        <f>IF(BR9="NE","~",IF(BR9="","",""))</f>
        <v/>
      </c>
      <c r="BU9" s="18" t="n"/>
      <c r="BV9" s="19">
        <f>IF(BU9="","",IF(BU9="NE","",IF(BU9="0",0,IF(BU9="1",0.5,IF(BU9="2",1,0)))*$F9*$F$4*20))</f>
        <v/>
      </c>
      <c r="BW9" s="20">
        <f>IF(BU9="NE","~",IF(BU9="","",""))</f>
        <v/>
      </c>
      <c r="BX9" s="18" t="n"/>
      <c r="BY9" s="19">
        <f>IF(BX9="","",IF(BX9="NE","",IF(BX9="0",0,IF(BX9="1",0.5,IF(BX9="2",1,0)))*$F9*$F$4*20))</f>
        <v/>
      </c>
      <c r="BZ9" s="20">
        <f>IF(BX9="NE","~",IF(BX9="","",""))</f>
        <v/>
      </c>
      <c r="CA9" s="18" t="n"/>
      <c r="CB9" s="19">
        <f>IF(CA9="","",IF(CA9="NE","",IF(CA9="0",0,IF(CA9="1",0.5,IF(CA9="2",1,0)))*$F9*$F$4*20))</f>
        <v/>
      </c>
      <c r="CC9" s="20">
        <f>IF(CA9="NE","~",IF(CA9="","",""))</f>
        <v/>
      </c>
      <c r="CD9" s="18" t="n"/>
      <c r="CE9" s="19">
        <f>IF(CD9="","",IF(CD9="NE","",IF(CD9="0",0,IF(CD9="1",0.5,IF(CD9="2",1,0)))*$F9*$F$4*20))</f>
        <v/>
      </c>
      <c r="CF9" s="20">
        <f>IF(CD9="NE","~",IF(CD9="","",""))</f>
        <v/>
      </c>
      <c r="CG9" s="18" t="n"/>
      <c r="CH9" s="19">
        <f>IF(CG9="","",IF(CG9="NE","",IF(CG9="0",0,IF(CG9="1",0.5,IF(CG9="2",1,0)))*$F9*$F$4*20))</f>
        <v/>
      </c>
      <c r="CI9" s="20">
        <f>IF(CG9="NE","~",IF(CG9="","",""))</f>
        <v/>
      </c>
      <c r="CJ9" s="18" t="n"/>
      <c r="CK9" s="19">
        <f>IF(CJ9="","",IF(CJ9="NE","",IF(CJ9="0",0,IF(CJ9="1",0.5,IF(CJ9="2",1,0)))*$F9*$F$4*20))</f>
        <v/>
      </c>
      <c r="CL9" s="20">
        <f>IF(CJ9="NE","~",IF(CJ9="","",""))</f>
        <v/>
      </c>
      <c r="CM9" s="18" t="n"/>
      <c r="CN9" s="19">
        <f>IF(CM9="","",IF(CM9="NE","",IF(CM9="0",0,IF(CM9="1",0.5,IF(CM9="2",1,0)))*$F9*$F$4*20))</f>
        <v/>
      </c>
      <c r="CO9" s="20">
        <f>IF(CM9="NE","~",IF(CM9="","",""))</f>
        <v/>
      </c>
      <c r="CP9" s="18" t="n"/>
      <c r="CQ9" s="19">
        <f>IF(CP9="","",IF(CP9="NE","",IF(CP9="0",0,IF(CP9="1",0.5,IF(CP9="2",1,0)))*$F9*$F$4*20))</f>
        <v/>
      </c>
      <c r="CR9" s="20">
        <f>IF(CP9="NE","~",IF(CP9="","",""))</f>
        <v/>
      </c>
    </row>
    <row r="10" ht="36" customHeight="1">
      <c r="A10" s="15" t="n">
        <v>6</v>
      </c>
      <c r="B10" s="15" t="inlineStr">
        <is>
          <t>P1</t>
        </is>
      </c>
      <c r="C10" s="15" t="inlineStr">
        <is>
          <t>Q1.3</t>
        </is>
      </c>
      <c r="D10" s="15" t="inlineStr">
        <is>
          <t>Critère</t>
        </is>
      </c>
      <c r="E10" s="16" t="inlineStr">
        <is>
          <t>Coût biofiltre = 2 142 €/EqHab × 300 000 = 642,6 M€.</t>
        </is>
      </c>
      <c r="F10" s="17" t="n">
        <v>0.15</v>
      </c>
      <c r="G10" s="18" t="n"/>
      <c r="H10" s="19">
        <f>IF(G10="","",IF(G10="NE","",IF(G10="0",0,IF(G10="1",0.5,IF(G10="2",1,0)))*$F10*$F$4*20))</f>
        <v/>
      </c>
      <c r="I10" s="20">
        <f>IF(G10="NE","~",IF(G10="","",""))</f>
        <v/>
      </c>
      <c r="J10" s="18" t="n"/>
      <c r="K10" s="19">
        <f>IF(J10="","",IF(J10="NE","",IF(J10="0",0,IF(J10="1",0.5,IF(J10="2",1,0)))*$F10*$F$4*20))</f>
        <v/>
      </c>
      <c r="L10" s="20">
        <f>IF(J10="NE","~",IF(J10="","",""))</f>
        <v/>
      </c>
      <c r="M10" s="18" t="n"/>
      <c r="N10" s="19">
        <f>IF(M10="","",IF(M10="NE","",IF(M10="0",0,IF(M10="1",0.5,IF(M10="2",1,0)))*$F10*$F$4*20))</f>
        <v/>
      </c>
      <c r="O10" s="20">
        <f>IF(M10="NE","~",IF(M10="","",""))</f>
        <v/>
      </c>
      <c r="P10" s="18" t="n"/>
      <c r="Q10" s="19">
        <f>IF(P10="","",IF(P10="NE","",IF(P10="0",0,IF(P10="1",0.5,IF(P10="2",1,0)))*$F10*$F$4*20))</f>
        <v/>
      </c>
      <c r="R10" s="20">
        <f>IF(P10="NE","~",IF(P10="","",""))</f>
        <v/>
      </c>
      <c r="S10" s="18" t="n"/>
      <c r="T10" s="19">
        <f>IF(S10="","",IF(S10="NE","",IF(S10="0",0,IF(S10="1",0.5,IF(S10="2",1,0)))*$F10*$F$4*20))</f>
        <v/>
      </c>
      <c r="U10" s="20">
        <f>IF(S10="NE","~",IF(S10="","",""))</f>
        <v/>
      </c>
      <c r="V10" s="18" t="n"/>
      <c r="W10" s="19">
        <f>IF(V10="","",IF(V10="NE","",IF(V10="0",0,IF(V10="1",0.5,IF(V10="2",1,0)))*$F10*$F$4*20))</f>
        <v/>
      </c>
      <c r="X10" s="20">
        <f>IF(V10="NE","~",IF(V10="","",""))</f>
        <v/>
      </c>
      <c r="Y10" s="18" t="n"/>
      <c r="Z10" s="19">
        <f>IF(Y10="","",IF(Y10="NE","",IF(Y10="0",0,IF(Y10="1",0.5,IF(Y10="2",1,0)))*$F10*$F$4*20))</f>
        <v/>
      </c>
      <c r="AA10" s="20">
        <f>IF(Y10="NE","~",IF(Y10="","",""))</f>
        <v/>
      </c>
      <c r="AB10" s="18" t="n"/>
      <c r="AC10" s="19">
        <f>IF(AB10="","",IF(AB10="NE","",IF(AB10="0",0,IF(AB10="1",0.5,IF(AB10="2",1,0)))*$F10*$F$4*20))</f>
        <v/>
      </c>
      <c r="AD10" s="20">
        <f>IF(AB10="NE","~",IF(AB10="","",""))</f>
        <v/>
      </c>
      <c r="AE10" s="18" t="n"/>
      <c r="AF10" s="19">
        <f>IF(AE10="","",IF(AE10="NE","",IF(AE10="0",0,IF(AE10="1",0.5,IF(AE10="2",1,0)))*$F10*$F$4*20))</f>
        <v/>
      </c>
      <c r="AG10" s="20">
        <f>IF(AE10="NE","~",IF(AE10="","",""))</f>
        <v/>
      </c>
      <c r="AH10" s="18" t="n"/>
      <c r="AI10" s="19">
        <f>IF(AH10="","",IF(AH10="NE","",IF(AH10="0",0,IF(AH10="1",0.5,IF(AH10="2",1,0)))*$F10*$F$4*20))</f>
        <v/>
      </c>
      <c r="AJ10" s="20">
        <f>IF(AH10="NE","~",IF(AH10="","",""))</f>
        <v/>
      </c>
      <c r="AK10" s="18" t="n"/>
      <c r="AL10" s="19">
        <f>IF(AK10="","",IF(AK10="NE","",IF(AK10="0",0,IF(AK10="1",0.5,IF(AK10="2",1,0)))*$F10*$F$4*20))</f>
        <v/>
      </c>
      <c r="AM10" s="20">
        <f>IF(AK10="NE","~",IF(AK10="","",""))</f>
        <v/>
      </c>
      <c r="AN10" s="18" t="n"/>
      <c r="AO10" s="19">
        <f>IF(AN10="","",IF(AN10="NE","",IF(AN10="0",0,IF(AN10="1",0.5,IF(AN10="2",1,0)))*$F10*$F$4*20))</f>
        <v/>
      </c>
      <c r="AP10" s="20">
        <f>IF(AN10="NE","~",IF(AN10="","",""))</f>
        <v/>
      </c>
      <c r="AQ10" s="18" t="n"/>
      <c r="AR10" s="19">
        <f>IF(AQ10="","",IF(AQ10="NE","",IF(AQ10="0",0,IF(AQ10="1",0.5,IF(AQ10="2",1,0)))*$F10*$F$4*20))</f>
        <v/>
      </c>
      <c r="AS10" s="20">
        <f>IF(AQ10="NE","~",IF(AQ10="","",""))</f>
        <v/>
      </c>
      <c r="AT10" s="18" t="n"/>
      <c r="AU10" s="19">
        <f>IF(AT10="","",IF(AT10="NE","",IF(AT10="0",0,IF(AT10="1",0.5,IF(AT10="2",1,0)))*$F10*$F$4*20))</f>
        <v/>
      </c>
      <c r="AV10" s="20">
        <f>IF(AT10="NE","~",IF(AT10="","",""))</f>
        <v/>
      </c>
      <c r="AW10" s="18" t="n"/>
      <c r="AX10" s="19">
        <f>IF(AW10="","",IF(AW10="NE","",IF(AW10="0",0,IF(AW10="1",0.5,IF(AW10="2",1,0)))*$F10*$F$4*20))</f>
        <v/>
      </c>
      <c r="AY10" s="20">
        <f>IF(AW10="NE","~",IF(AW10="","",""))</f>
        <v/>
      </c>
      <c r="AZ10" s="18" t="n"/>
      <c r="BA10" s="19">
        <f>IF(AZ10="","",IF(AZ10="NE","",IF(AZ10="0",0,IF(AZ10="1",0.5,IF(AZ10="2",1,0)))*$F10*$F$4*20))</f>
        <v/>
      </c>
      <c r="BB10" s="20">
        <f>IF(AZ10="NE","~",IF(AZ10="","",""))</f>
        <v/>
      </c>
      <c r="BC10" s="18" t="n"/>
      <c r="BD10" s="19">
        <f>IF(BC10="","",IF(BC10="NE","",IF(BC10="0",0,IF(BC10="1",0.5,IF(BC10="2",1,0)))*$F10*$F$4*20))</f>
        <v/>
      </c>
      <c r="BE10" s="20">
        <f>IF(BC10="NE","~",IF(BC10="","",""))</f>
        <v/>
      </c>
      <c r="BF10" s="18" t="n"/>
      <c r="BG10" s="19">
        <f>IF(BF10="","",IF(BF10="NE","",IF(BF10="0",0,IF(BF10="1",0.5,IF(BF10="2",1,0)))*$F10*$F$4*20))</f>
        <v/>
      </c>
      <c r="BH10" s="20">
        <f>IF(BF10="NE","~",IF(BF10="","",""))</f>
        <v/>
      </c>
      <c r="BI10" s="18" t="n"/>
      <c r="BJ10" s="19">
        <f>IF(BI10="","",IF(BI10="NE","",IF(BI10="0",0,IF(BI10="1",0.5,IF(BI10="2",1,0)))*$F10*$F$4*20))</f>
        <v/>
      </c>
      <c r="BK10" s="20">
        <f>IF(BI10="NE","~",IF(BI10="","",""))</f>
        <v/>
      </c>
      <c r="BL10" s="18" t="n"/>
      <c r="BM10" s="19">
        <f>IF(BL10="","",IF(BL10="NE","",IF(BL10="0",0,IF(BL10="1",0.5,IF(BL10="2",1,0)))*$F10*$F$4*20))</f>
        <v/>
      </c>
      <c r="BN10" s="20">
        <f>IF(BL10="NE","~",IF(BL10="","",""))</f>
        <v/>
      </c>
      <c r="BO10" s="18" t="n"/>
      <c r="BP10" s="19">
        <f>IF(BO10="","",IF(BO10="NE","",IF(BO10="0",0,IF(BO10="1",0.5,IF(BO10="2",1,0)))*$F10*$F$4*20))</f>
        <v/>
      </c>
      <c r="BQ10" s="20">
        <f>IF(BO10="NE","~",IF(BO10="","",""))</f>
        <v/>
      </c>
      <c r="BR10" s="18" t="n"/>
      <c r="BS10" s="19">
        <f>IF(BR10="","",IF(BR10="NE","",IF(BR10="0",0,IF(BR10="1",0.5,IF(BR10="2",1,0)))*$F10*$F$4*20))</f>
        <v/>
      </c>
      <c r="BT10" s="20">
        <f>IF(BR10="NE","~",IF(BR10="","",""))</f>
        <v/>
      </c>
      <c r="BU10" s="18" t="n"/>
      <c r="BV10" s="19">
        <f>IF(BU10="","",IF(BU10="NE","",IF(BU10="0",0,IF(BU10="1",0.5,IF(BU10="2",1,0)))*$F10*$F$4*20))</f>
        <v/>
      </c>
      <c r="BW10" s="20">
        <f>IF(BU10="NE","~",IF(BU10="","",""))</f>
        <v/>
      </c>
      <c r="BX10" s="18" t="n"/>
      <c r="BY10" s="19">
        <f>IF(BX10="","",IF(BX10="NE","",IF(BX10="0",0,IF(BX10="1",0.5,IF(BX10="2",1,0)))*$F10*$F$4*20))</f>
        <v/>
      </c>
      <c r="BZ10" s="20">
        <f>IF(BX10="NE","~",IF(BX10="","",""))</f>
        <v/>
      </c>
      <c r="CA10" s="18" t="n"/>
      <c r="CB10" s="19">
        <f>IF(CA10="","",IF(CA10="NE","",IF(CA10="0",0,IF(CA10="1",0.5,IF(CA10="2",1,0)))*$F10*$F$4*20))</f>
        <v/>
      </c>
      <c r="CC10" s="20">
        <f>IF(CA10="NE","~",IF(CA10="","",""))</f>
        <v/>
      </c>
      <c r="CD10" s="18" t="n"/>
      <c r="CE10" s="19">
        <f>IF(CD10="","",IF(CD10="NE","",IF(CD10="0",0,IF(CD10="1",0.5,IF(CD10="2",1,0)))*$F10*$F$4*20))</f>
        <v/>
      </c>
      <c r="CF10" s="20">
        <f>IF(CD10="NE","~",IF(CD10="","",""))</f>
        <v/>
      </c>
      <c r="CG10" s="18" t="n"/>
      <c r="CH10" s="19">
        <f>IF(CG10="","",IF(CG10="NE","",IF(CG10="0",0,IF(CG10="1",0.5,IF(CG10="2",1,0)))*$F10*$F$4*20))</f>
        <v/>
      </c>
      <c r="CI10" s="20">
        <f>IF(CG10="NE","~",IF(CG10="","",""))</f>
        <v/>
      </c>
      <c r="CJ10" s="18" t="n"/>
      <c r="CK10" s="19">
        <f>IF(CJ10="","",IF(CJ10="NE","",IF(CJ10="0",0,IF(CJ10="1",0.5,IF(CJ10="2",1,0)))*$F10*$F$4*20))</f>
        <v/>
      </c>
      <c r="CL10" s="20">
        <f>IF(CJ10="NE","~",IF(CJ10="","",""))</f>
        <v/>
      </c>
      <c r="CM10" s="18" t="n"/>
      <c r="CN10" s="19">
        <f>IF(CM10="","",IF(CM10="NE","",IF(CM10="0",0,IF(CM10="1",0.5,IF(CM10="2",1,0)))*$F10*$F$4*20))</f>
        <v/>
      </c>
      <c r="CO10" s="20">
        <f>IF(CM10="NE","~",IF(CM10="","",""))</f>
        <v/>
      </c>
      <c r="CP10" s="18" t="n"/>
      <c r="CQ10" s="19">
        <f>IF(CP10="","",IF(CP10="NE","",IF(CP10="0",0,IF(CP10="1",0.5,IF(CP10="2",1,0)))*$F10*$F$4*20))</f>
        <v/>
      </c>
      <c r="CR10" s="20">
        <f>IF(CP10="NE","~",IF(CP10="","",""))</f>
        <v/>
      </c>
    </row>
    <row r="11" ht="36" customHeight="1">
      <c r="A11" s="15" t="n">
        <v>7</v>
      </c>
      <c r="B11" s="15" t="inlineStr">
        <is>
          <t>P1</t>
        </is>
      </c>
      <c r="C11" s="15" t="inlineStr">
        <is>
          <t>Q1.4</t>
        </is>
      </c>
      <c r="D11" s="15" t="inlineStr">
        <is>
          <t>Critère</t>
        </is>
      </c>
      <c r="E11" s="16" t="inlineStr">
        <is>
          <t>Boue Activée justifiée : lit roseaux trop grand, biofiltre trop énergivore et trop cher.</t>
        </is>
      </c>
      <c r="F11" s="17" t="n">
        <v>0.1</v>
      </c>
      <c r="G11" s="18" t="n"/>
      <c r="H11" s="19">
        <f>IF(G11="","",IF(G11="NE","",IF(G11="0",0,IF(G11="1",0.5,IF(G11="2",1,0)))*$F11*$F$4*20))</f>
        <v/>
      </c>
      <c r="I11" s="20">
        <f>IF(G11="NE","~",IF(G11="","",""))</f>
        <v/>
      </c>
      <c r="J11" s="18" t="n"/>
      <c r="K11" s="19">
        <f>IF(J11="","",IF(J11="NE","",IF(J11="0",0,IF(J11="1",0.5,IF(J11="2",1,0)))*$F11*$F$4*20))</f>
        <v/>
      </c>
      <c r="L11" s="20">
        <f>IF(J11="NE","~",IF(J11="","",""))</f>
        <v/>
      </c>
      <c r="M11" s="18" t="n"/>
      <c r="N11" s="19">
        <f>IF(M11="","",IF(M11="NE","",IF(M11="0",0,IF(M11="1",0.5,IF(M11="2",1,0)))*$F11*$F$4*20))</f>
        <v/>
      </c>
      <c r="O11" s="20">
        <f>IF(M11="NE","~",IF(M11="","",""))</f>
        <v/>
      </c>
      <c r="P11" s="18" t="n"/>
      <c r="Q11" s="19">
        <f>IF(P11="","",IF(P11="NE","",IF(P11="0",0,IF(P11="1",0.5,IF(P11="2",1,0)))*$F11*$F$4*20))</f>
        <v/>
      </c>
      <c r="R11" s="20">
        <f>IF(P11="NE","~",IF(P11="","",""))</f>
        <v/>
      </c>
      <c r="S11" s="18" t="n"/>
      <c r="T11" s="19">
        <f>IF(S11="","",IF(S11="NE","",IF(S11="0",0,IF(S11="1",0.5,IF(S11="2",1,0)))*$F11*$F$4*20))</f>
        <v/>
      </c>
      <c r="U11" s="20">
        <f>IF(S11="NE","~",IF(S11="","",""))</f>
        <v/>
      </c>
      <c r="V11" s="18" t="n"/>
      <c r="W11" s="19">
        <f>IF(V11="","",IF(V11="NE","",IF(V11="0",0,IF(V11="1",0.5,IF(V11="2",1,0)))*$F11*$F$4*20))</f>
        <v/>
      </c>
      <c r="X11" s="20">
        <f>IF(V11="NE","~",IF(V11="","",""))</f>
        <v/>
      </c>
      <c r="Y11" s="18" t="n"/>
      <c r="Z11" s="19">
        <f>IF(Y11="","",IF(Y11="NE","",IF(Y11="0",0,IF(Y11="1",0.5,IF(Y11="2",1,0)))*$F11*$F$4*20))</f>
        <v/>
      </c>
      <c r="AA11" s="20">
        <f>IF(Y11="NE","~",IF(Y11="","",""))</f>
        <v/>
      </c>
      <c r="AB11" s="18" t="n"/>
      <c r="AC11" s="19">
        <f>IF(AB11="","",IF(AB11="NE","",IF(AB11="0",0,IF(AB11="1",0.5,IF(AB11="2",1,0)))*$F11*$F$4*20))</f>
        <v/>
      </c>
      <c r="AD11" s="20">
        <f>IF(AB11="NE","~",IF(AB11="","",""))</f>
        <v/>
      </c>
      <c r="AE11" s="18" t="n"/>
      <c r="AF11" s="19">
        <f>IF(AE11="","",IF(AE11="NE","",IF(AE11="0",0,IF(AE11="1",0.5,IF(AE11="2",1,0)))*$F11*$F$4*20))</f>
        <v/>
      </c>
      <c r="AG11" s="20">
        <f>IF(AE11="NE","~",IF(AE11="","",""))</f>
        <v/>
      </c>
      <c r="AH11" s="18" t="n"/>
      <c r="AI11" s="19">
        <f>IF(AH11="","",IF(AH11="NE","",IF(AH11="0",0,IF(AH11="1",0.5,IF(AH11="2",1,0)))*$F11*$F$4*20))</f>
        <v/>
      </c>
      <c r="AJ11" s="20">
        <f>IF(AH11="NE","~",IF(AH11="","",""))</f>
        <v/>
      </c>
      <c r="AK11" s="18" t="n"/>
      <c r="AL11" s="19">
        <f>IF(AK11="","",IF(AK11="NE","",IF(AK11="0",0,IF(AK11="1",0.5,IF(AK11="2",1,0)))*$F11*$F$4*20))</f>
        <v/>
      </c>
      <c r="AM11" s="20">
        <f>IF(AK11="NE","~",IF(AK11="","",""))</f>
        <v/>
      </c>
      <c r="AN11" s="18" t="n"/>
      <c r="AO11" s="19">
        <f>IF(AN11="","",IF(AN11="NE","",IF(AN11="0",0,IF(AN11="1",0.5,IF(AN11="2",1,0)))*$F11*$F$4*20))</f>
        <v/>
      </c>
      <c r="AP11" s="20">
        <f>IF(AN11="NE","~",IF(AN11="","",""))</f>
        <v/>
      </c>
      <c r="AQ11" s="18" t="n"/>
      <c r="AR11" s="19">
        <f>IF(AQ11="","",IF(AQ11="NE","",IF(AQ11="0",0,IF(AQ11="1",0.5,IF(AQ11="2",1,0)))*$F11*$F$4*20))</f>
        <v/>
      </c>
      <c r="AS11" s="20">
        <f>IF(AQ11="NE","~",IF(AQ11="","",""))</f>
        <v/>
      </c>
      <c r="AT11" s="18" t="n"/>
      <c r="AU11" s="19">
        <f>IF(AT11="","",IF(AT11="NE","",IF(AT11="0",0,IF(AT11="1",0.5,IF(AT11="2",1,0)))*$F11*$F$4*20))</f>
        <v/>
      </c>
      <c r="AV11" s="20">
        <f>IF(AT11="NE","~",IF(AT11="","",""))</f>
        <v/>
      </c>
      <c r="AW11" s="18" t="n"/>
      <c r="AX11" s="19">
        <f>IF(AW11="","",IF(AW11="NE","",IF(AW11="0",0,IF(AW11="1",0.5,IF(AW11="2",1,0)))*$F11*$F$4*20))</f>
        <v/>
      </c>
      <c r="AY11" s="20">
        <f>IF(AW11="NE","~",IF(AW11="","",""))</f>
        <v/>
      </c>
      <c r="AZ11" s="18" t="n"/>
      <c r="BA11" s="19">
        <f>IF(AZ11="","",IF(AZ11="NE","",IF(AZ11="0",0,IF(AZ11="1",0.5,IF(AZ11="2",1,0)))*$F11*$F$4*20))</f>
        <v/>
      </c>
      <c r="BB11" s="20">
        <f>IF(AZ11="NE","~",IF(AZ11="","",""))</f>
        <v/>
      </c>
      <c r="BC11" s="18" t="n"/>
      <c r="BD11" s="19">
        <f>IF(BC11="","",IF(BC11="NE","",IF(BC11="0",0,IF(BC11="1",0.5,IF(BC11="2",1,0)))*$F11*$F$4*20))</f>
        <v/>
      </c>
      <c r="BE11" s="20">
        <f>IF(BC11="NE","~",IF(BC11="","",""))</f>
        <v/>
      </c>
      <c r="BF11" s="18" t="n"/>
      <c r="BG11" s="19">
        <f>IF(BF11="","",IF(BF11="NE","",IF(BF11="0",0,IF(BF11="1",0.5,IF(BF11="2",1,0)))*$F11*$F$4*20))</f>
        <v/>
      </c>
      <c r="BH11" s="20">
        <f>IF(BF11="NE","~",IF(BF11="","",""))</f>
        <v/>
      </c>
      <c r="BI11" s="18" t="n"/>
      <c r="BJ11" s="19">
        <f>IF(BI11="","",IF(BI11="NE","",IF(BI11="0",0,IF(BI11="1",0.5,IF(BI11="2",1,0)))*$F11*$F$4*20))</f>
        <v/>
      </c>
      <c r="BK11" s="20">
        <f>IF(BI11="NE","~",IF(BI11="","",""))</f>
        <v/>
      </c>
      <c r="BL11" s="18" t="n"/>
      <c r="BM11" s="19">
        <f>IF(BL11="","",IF(BL11="NE","",IF(BL11="0",0,IF(BL11="1",0.5,IF(BL11="2",1,0)))*$F11*$F$4*20))</f>
        <v/>
      </c>
      <c r="BN11" s="20">
        <f>IF(BL11="NE","~",IF(BL11="","",""))</f>
        <v/>
      </c>
      <c r="BO11" s="18" t="n"/>
      <c r="BP11" s="19">
        <f>IF(BO11="","",IF(BO11="NE","",IF(BO11="0",0,IF(BO11="1",0.5,IF(BO11="2",1,0)))*$F11*$F$4*20))</f>
        <v/>
      </c>
      <c r="BQ11" s="20">
        <f>IF(BO11="NE","~",IF(BO11="","",""))</f>
        <v/>
      </c>
      <c r="BR11" s="18" t="n"/>
      <c r="BS11" s="19">
        <f>IF(BR11="","",IF(BR11="NE","",IF(BR11="0",0,IF(BR11="1",0.5,IF(BR11="2",1,0)))*$F11*$F$4*20))</f>
        <v/>
      </c>
      <c r="BT11" s="20">
        <f>IF(BR11="NE","~",IF(BR11="","",""))</f>
        <v/>
      </c>
      <c r="BU11" s="18" t="n"/>
      <c r="BV11" s="19">
        <f>IF(BU11="","",IF(BU11="NE","",IF(BU11="0",0,IF(BU11="1",0.5,IF(BU11="2",1,0)))*$F11*$F$4*20))</f>
        <v/>
      </c>
      <c r="BW11" s="20">
        <f>IF(BU11="NE","~",IF(BU11="","",""))</f>
        <v/>
      </c>
      <c r="BX11" s="18" t="n"/>
      <c r="BY11" s="19">
        <f>IF(BX11="","",IF(BX11="NE","",IF(BX11="0",0,IF(BX11="1",0.5,IF(BX11="2",1,0)))*$F11*$F$4*20))</f>
        <v/>
      </c>
      <c r="BZ11" s="20">
        <f>IF(BX11="NE","~",IF(BX11="","",""))</f>
        <v/>
      </c>
      <c r="CA11" s="18" t="n"/>
      <c r="CB11" s="19">
        <f>IF(CA11="","",IF(CA11="NE","",IF(CA11="0",0,IF(CA11="1",0.5,IF(CA11="2",1,0)))*$F11*$F$4*20))</f>
        <v/>
      </c>
      <c r="CC11" s="20">
        <f>IF(CA11="NE","~",IF(CA11="","",""))</f>
        <v/>
      </c>
      <c r="CD11" s="18" t="n"/>
      <c r="CE11" s="19">
        <f>IF(CD11="","",IF(CD11="NE","",IF(CD11="0",0,IF(CD11="1",0.5,IF(CD11="2",1,0)))*$F11*$F$4*20))</f>
        <v/>
      </c>
      <c r="CF11" s="20">
        <f>IF(CD11="NE","~",IF(CD11="","",""))</f>
        <v/>
      </c>
      <c r="CG11" s="18" t="n"/>
      <c r="CH11" s="19">
        <f>IF(CG11="","",IF(CG11="NE","",IF(CG11="0",0,IF(CG11="1",0.5,IF(CG11="2",1,0)))*$F11*$F$4*20))</f>
        <v/>
      </c>
      <c r="CI11" s="20">
        <f>IF(CG11="NE","~",IF(CG11="","",""))</f>
        <v/>
      </c>
      <c r="CJ11" s="18" t="n"/>
      <c r="CK11" s="19">
        <f>IF(CJ11="","",IF(CJ11="NE","",IF(CJ11="0",0,IF(CJ11="1",0.5,IF(CJ11="2",1,0)))*$F11*$F$4*20))</f>
        <v/>
      </c>
      <c r="CL11" s="20">
        <f>IF(CJ11="NE","~",IF(CJ11="","",""))</f>
        <v/>
      </c>
      <c r="CM11" s="18" t="n"/>
      <c r="CN11" s="19">
        <f>IF(CM11="","",IF(CM11="NE","",IF(CM11="0",0,IF(CM11="1",0.5,IF(CM11="2",1,0)))*$F11*$F$4*20))</f>
        <v/>
      </c>
      <c r="CO11" s="20">
        <f>IF(CM11="NE","~",IF(CM11="","",""))</f>
        <v/>
      </c>
      <c r="CP11" s="18" t="n"/>
      <c r="CQ11" s="19">
        <f>IF(CP11="","",IF(CP11="NE","",IF(CP11="0",0,IF(CP11="1",0.5,IF(CP11="2",1,0)))*$F11*$F$4*20))</f>
        <v/>
      </c>
      <c r="CR11" s="20">
        <f>IF(CP11="NE","~",IF(CP11="","",""))</f>
        <v/>
      </c>
    </row>
    <row r="12" ht="22" customHeight="1">
      <c r="A12" s="10" t="inlineStr"/>
      <c r="B12" s="11" t="inlineStr">
        <is>
          <t>P2</t>
        </is>
      </c>
      <c r="C12" s="10" t="inlineStr"/>
      <c r="D12" s="12" t="inlineStr">
        <is>
          <t>Partie</t>
        </is>
      </c>
      <c r="E12" s="13" t="inlineStr">
        <is>
          <t>Comment la digestion des boues améliore-t-elle les performances d'une STEU dans une démarche DD ?</t>
        </is>
      </c>
      <c r="F12" s="14" t="n">
        <v>0.25</v>
      </c>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0" t="n"/>
      <c r="BR12" s="10" t="n"/>
      <c r="BS12" s="10" t="n"/>
      <c r="BT12" s="10" t="n"/>
      <c r="BU12" s="10" t="n"/>
      <c r="BV12" s="10" t="n"/>
      <c r="BW12" s="10" t="n"/>
      <c r="BX12" s="10" t="n"/>
      <c r="BY12" s="10" t="n"/>
      <c r="BZ12" s="10" t="n"/>
      <c r="CA12" s="10" t="n"/>
      <c r="CB12" s="10" t="n"/>
      <c r="CC12" s="10" t="n"/>
      <c r="CD12" s="10" t="n"/>
      <c r="CE12" s="10" t="n"/>
      <c r="CF12" s="10" t="n"/>
      <c r="CG12" s="10" t="n"/>
      <c r="CH12" s="10" t="n"/>
      <c r="CI12" s="10" t="n"/>
      <c r="CJ12" s="10" t="n"/>
      <c r="CK12" s="10" t="n"/>
      <c r="CL12" s="10" t="n"/>
      <c r="CM12" s="10" t="n"/>
      <c r="CN12" s="10" t="n"/>
      <c r="CO12" s="10" t="n"/>
      <c r="CP12" s="10" t="n"/>
      <c r="CQ12" s="10" t="n"/>
      <c r="CR12" s="10" t="n"/>
    </row>
    <row r="13" ht="36" customHeight="1">
      <c r="A13" s="15" t="n">
        <v>8</v>
      </c>
      <c r="B13" s="15" t="inlineStr">
        <is>
          <t>P2</t>
        </is>
      </c>
      <c r="C13" s="15" t="inlineStr">
        <is>
          <t>Q2.1</t>
        </is>
      </c>
      <c r="D13" s="15" t="inlineStr">
        <is>
          <t>Critère</t>
        </is>
      </c>
      <c r="E13" s="16" t="inlineStr">
        <is>
          <t>Type 1 : flux entrant = énergie électrique.</t>
        </is>
      </c>
      <c r="F13" s="17" t="n">
        <v>0.1</v>
      </c>
      <c r="G13" s="18" t="n"/>
      <c r="H13" s="19">
        <f>IF(G13="","",IF(G13="NE","",IF(G13="0",0,IF(G13="1",0.5,IF(G13="2",1,0)))*$F13*$F$12*20))</f>
        <v/>
      </c>
      <c r="I13" s="20">
        <f>IF(G13="NE","~",IF(G13="","",""))</f>
        <v/>
      </c>
      <c r="J13" s="18" t="n"/>
      <c r="K13" s="19">
        <f>IF(J13="","",IF(J13="NE","",IF(J13="0",0,IF(J13="1",0.5,IF(J13="2",1,0)))*$F13*$F$12*20))</f>
        <v/>
      </c>
      <c r="L13" s="20">
        <f>IF(J13="NE","~",IF(J13="","",""))</f>
        <v/>
      </c>
      <c r="M13" s="18" t="n"/>
      <c r="N13" s="19">
        <f>IF(M13="","",IF(M13="NE","",IF(M13="0",0,IF(M13="1",0.5,IF(M13="2",1,0)))*$F13*$F$12*20))</f>
        <v/>
      </c>
      <c r="O13" s="20">
        <f>IF(M13="NE","~",IF(M13="","",""))</f>
        <v/>
      </c>
      <c r="P13" s="18" t="n"/>
      <c r="Q13" s="19">
        <f>IF(P13="","",IF(P13="NE","",IF(P13="0",0,IF(P13="1",0.5,IF(P13="2",1,0)))*$F13*$F$12*20))</f>
        <v/>
      </c>
      <c r="R13" s="20">
        <f>IF(P13="NE","~",IF(P13="","",""))</f>
        <v/>
      </c>
      <c r="S13" s="18" t="n"/>
      <c r="T13" s="19">
        <f>IF(S13="","",IF(S13="NE","",IF(S13="0",0,IF(S13="1",0.5,IF(S13="2",1,0)))*$F13*$F$12*20))</f>
        <v/>
      </c>
      <c r="U13" s="20">
        <f>IF(S13="NE","~",IF(S13="","",""))</f>
        <v/>
      </c>
      <c r="V13" s="18" t="n"/>
      <c r="W13" s="19">
        <f>IF(V13="","",IF(V13="NE","",IF(V13="0",0,IF(V13="1",0.5,IF(V13="2",1,0)))*$F13*$F$12*20))</f>
        <v/>
      </c>
      <c r="X13" s="20">
        <f>IF(V13="NE","~",IF(V13="","",""))</f>
        <v/>
      </c>
      <c r="Y13" s="18" t="n"/>
      <c r="Z13" s="19">
        <f>IF(Y13="","",IF(Y13="NE","",IF(Y13="0",0,IF(Y13="1",0.5,IF(Y13="2",1,0)))*$F13*$F$12*20))</f>
        <v/>
      </c>
      <c r="AA13" s="20">
        <f>IF(Y13="NE","~",IF(Y13="","",""))</f>
        <v/>
      </c>
      <c r="AB13" s="18" t="n"/>
      <c r="AC13" s="19">
        <f>IF(AB13="","",IF(AB13="NE","",IF(AB13="0",0,IF(AB13="1",0.5,IF(AB13="2",1,0)))*$F13*$F$12*20))</f>
        <v/>
      </c>
      <c r="AD13" s="20">
        <f>IF(AB13="NE","~",IF(AB13="","",""))</f>
        <v/>
      </c>
      <c r="AE13" s="18" t="n"/>
      <c r="AF13" s="19">
        <f>IF(AE13="","",IF(AE13="NE","",IF(AE13="0",0,IF(AE13="1",0.5,IF(AE13="2",1,0)))*$F13*$F$12*20))</f>
        <v/>
      </c>
      <c r="AG13" s="20">
        <f>IF(AE13="NE","~",IF(AE13="","",""))</f>
        <v/>
      </c>
      <c r="AH13" s="18" t="n"/>
      <c r="AI13" s="19">
        <f>IF(AH13="","",IF(AH13="NE","",IF(AH13="0",0,IF(AH13="1",0.5,IF(AH13="2",1,0)))*$F13*$F$12*20))</f>
        <v/>
      </c>
      <c r="AJ13" s="20">
        <f>IF(AH13="NE","~",IF(AH13="","",""))</f>
        <v/>
      </c>
      <c r="AK13" s="18" t="n"/>
      <c r="AL13" s="19">
        <f>IF(AK13="","",IF(AK13="NE","",IF(AK13="0",0,IF(AK13="1",0.5,IF(AK13="2",1,0)))*$F13*$F$12*20))</f>
        <v/>
      </c>
      <c r="AM13" s="20">
        <f>IF(AK13="NE","~",IF(AK13="","",""))</f>
        <v/>
      </c>
      <c r="AN13" s="18" t="n"/>
      <c r="AO13" s="19">
        <f>IF(AN13="","",IF(AN13="NE","",IF(AN13="0",0,IF(AN13="1",0.5,IF(AN13="2",1,0)))*$F13*$F$12*20))</f>
        <v/>
      </c>
      <c r="AP13" s="20">
        <f>IF(AN13="NE","~",IF(AN13="","",""))</f>
        <v/>
      </c>
      <c r="AQ13" s="18" t="n"/>
      <c r="AR13" s="19">
        <f>IF(AQ13="","",IF(AQ13="NE","",IF(AQ13="0",0,IF(AQ13="1",0.5,IF(AQ13="2",1,0)))*$F13*$F$12*20))</f>
        <v/>
      </c>
      <c r="AS13" s="20">
        <f>IF(AQ13="NE","~",IF(AQ13="","",""))</f>
        <v/>
      </c>
      <c r="AT13" s="18" t="n"/>
      <c r="AU13" s="19">
        <f>IF(AT13="","",IF(AT13="NE","",IF(AT13="0",0,IF(AT13="1",0.5,IF(AT13="2",1,0)))*$F13*$F$12*20))</f>
        <v/>
      </c>
      <c r="AV13" s="20">
        <f>IF(AT13="NE","~",IF(AT13="","",""))</f>
        <v/>
      </c>
      <c r="AW13" s="18" t="n"/>
      <c r="AX13" s="19">
        <f>IF(AW13="","",IF(AW13="NE","",IF(AW13="0",0,IF(AW13="1",0.5,IF(AW13="2",1,0)))*$F13*$F$12*20))</f>
        <v/>
      </c>
      <c r="AY13" s="20">
        <f>IF(AW13="NE","~",IF(AW13="","",""))</f>
        <v/>
      </c>
      <c r="AZ13" s="18" t="n"/>
      <c r="BA13" s="19">
        <f>IF(AZ13="","",IF(AZ13="NE","",IF(AZ13="0",0,IF(AZ13="1",0.5,IF(AZ13="2",1,0)))*$F13*$F$12*20))</f>
        <v/>
      </c>
      <c r="BB13" s="20">
        <f>IF(AZ13="NE","~",IF(AZ13="","",""))</f>
        <v/>
      </c>
      <c r="BC13" s="18" t="n"/>
      <c r="BD13" s="19">
        <f>IF(BC13="","",IF(BC13="NE","",IF(BC13="0",0,IF(BC13="1",0.5,IF(BC13="2",1,0)))*$F13*$F$12*20))</f>
        <v/>
      </c>
      <c r="BE13" s="20">
        <f>IF(BC13="NE","~",IF(BC13="","",""))</f>
        <v/>
      </c>
      <c r="BF13" s="18" t="n"/>
      <c r="BG13" s="19">
        <f>IF(BF13="","",IF(BF13="NE","",IF(BF13="0",0,IF(BF13="1",0.5,IF(BF13="2",1,0)))*$F13*$F$12*20))</f>
        <v/>
      </c>
      <c r="BH13" s="20">
        <f>IF(BF13="NE","~",IF(BF13="","",""))</f>
        <v/>
      </c>
      <c r="BI13" s="18" t="n"/>
      <c r="BJ13" s="19">
        <f>IF(BI13="","",IF(BI13="NE","",IF(BI13="0",0,IF(BI13="1",0.5,IF(BI13="2",1,0)))*$F13*$F$12*20))</f>
        <v/>
      </c>
      <c r="BK13" s="20">
        <f>IF(BI13="NE","~",IF(BI13="","",""))</f>
        <v/>
      </c>
      <c r="BL13" s="18" t="n"/>
      <c r="BM13" s="19">
        <f>IF(BL13="","",IF(BL13="NE","",IF(BL13="0",0,IF(BL13="1",0.5,IF(BL13="2",1,0)))*$F13*$F$12*20))</f>
        <v/>
      </c>
      <c r="BN13" s="20">
        <f>IF(BL13="NE","~",IF(BL13="","",""))</f>
        <v/>
      </c>
      <c r="BO13" s="18" t="n"/>
      <c r="BP13" s="19">
        <f>IF(BO13="","",IF(BO13="NE","",IF(BO13="0",0,IF(BO13="1",0.5,IF(BO13="2",1,0)))*$F13*$F$12*20))</f>
        <v/>
      </c>
      <c r="BQ13" s="20">
        <f>IF(BO13="NE","~",IF(BO13="","",""))</f>
        <v/>
      </c>
      <c r="BR13" s="18" t="n"/>
      <c r="BS13" s="19">
        <f>IF(BR13="","",IF(BR13="NE","",IF(BR13="0",0,IF(BR13="1",0.5,IF(BR13="2",1,0)))*$F13*$F$12*20))</f>
        <v/>
      </c>
      <c r="BT13" s="20">
        <f>IF(BR13="NE","~",IF(BR13="","",""))</f>
        <v/>
      </c>
      <c r="BU13" s="18" t="n"/>
      <c r="BV13" s="19">
        <f>IF(BU13="","",IF(BU13="NE","",IF(BU13="0",0,IF(BU13="1",0.5,IF(BU13="2",1,0)))*$F13*$F$12*20))</f>
        <v/>
      </c>
      <c r="BW13" s="20">
        <f>IF(BU13="NE","~",IF(BU13="","",""))</f>
        <v/>
      </c>
      <c r="BX13" s="18" t="n"/>
      <c r="BY13" s="19">
        <f>IF(BX13="","",IF(BX13="NE","",IF(BX13="0",0,IF(BX13="1",0.5,IF(BX13="2",1,0)))*$F13*$F$12*20))</f>
        <v/>
      </c>
      <c r="BZ13" s="20">
        <f>IF(BX13="NE","~",IF(BX13="","",""))</f>
        <v/>
      </c>
      <c r="CA13" s="18" t="n"/>
      <c r="CB13" s="19">
        <f>IF(CA13="","",IF(CA13="NE","",IF(CA13="0",0,IF(CA13="1",0.5,IF(CA13="2",1,0)))*$F13*$F$12*20))</f>
        <v/>
      </c>
      <c r="CC13" s="20">
        <f>IF(CA13="NE","~",IF(CA13="","",""))</f>
        <v/>
      </c>
      <c r="CD13" s="18" t="n"/>
      <c r="CE13" s="19">
        <f>IF(CD13="","",IF(CD13="NE","",IF(CD13="0",0,IF(CD13="1",0.5,IF(CD13="2",1,0)))*$F13*$F$12*20))</f>
        <v/>
      </c>
      <c r="CF13" s="20">
        <f>IF(CD13="NE","~",IF(CD13="","",""))</f>
        <v/>
      </c>
      <c r="CG13" s="18" t="n"/>
      <c r="CH13" s="19">
        <f>IF(CG13="","",IF(CG13="NE","",IF(CG13="0",0,IF(CG13="1",0.5,IF(CG13="2",1,0)))*$F13*$F$12*20))</f>
        <v/>
      </c>
      <c r="CI13" s="20">
        <f>IF(CG13="NE","~",IF(CG13="","",""))</f>
        <v/>
      </c>
      <c r="CJ13" s="18" t="n"/>
      <c r="CK13" s="19">
        <f>IF(CJ13="","",IF(CJ13="NE","",IF(CJ13="0",0,IF(CJ13="1",0.5,IF(CJ13="2",1,0)))*$F13*$F$12*20))</f>
        <v/>
      </c>
      <c r="CL13" s="20">
        <f>IF(CJ13="NE","~",IF(CJ13="","",""))</f>
        <v/>
      </c>
      <c r="CM13" s="18" t="n"/>
      <c r="CN13" s="19">
        <f>IF(CM13="","",IF(CM13="NE","",IF(CM13="0",0,IF(CM13="1",0.5,IF(CM13="2",1,0)))*$F13*$F$12*20))</f>
        <v/>
      </c>
      <c r="CO13" s="20">
        <f>IF(CM13="NE","~",IF(CM13="","",""))</f>
        <v/>
      </c>
      <c r="CP13" s="18" t="n"/>
      <c r="CQ13" s="19">
        <f>IF(CP13="","",IF(CP13="NE","",IF(CP13="0",0,IF(CP13="1",0.5,IF(CP13="2",1,0)))*$F13*$F$12*20))</f>
        <v/>
      </c>
      <c r="CR13" s="20">
        <f>IF(CP13="NE","~",IF(CP13="","",""))</f>
        <v/>
      </c>
    </row>
    <row r="14" ht="36" customHeight="1">
      <c r="A14" s="15" t="n">
        <v>9</v>
      </c>
      <c r="B14" s="15" t="inlineStr">
        <is>
          <t>P2</t>
        </is>
      </c>
      <c r="C14" s="15" t="inlineStr">
        <is>
          <t>Q2.1</t>
        </is>
      </c>
      <c r="D14" s="15" t="inlineStr">
        <is>
          <t>Critère</t>
        </is>
      </c>
      <c r="E14" s="16" t="inlineStr">
        <is>
          <t>Type 2 : entrants = énergie élec + gaz GRDF ; sortants = méthane (GRDF) + thermique perdue (torchère).</t>
        </is>
      </c>
      <c r="F14" s="17" t="n">
        <v>0.1</v>
      </c>
      <c r="G14" s="18" t="n"/>
      <c r="H14" s="19">
        <f>IF(G14="","",IF(G14="NE","",IF(G14="0",0,IF(G14="1",0.5,IF(G14="2",1,0)))*$F14*$F$12*20))</f>
        <v/>
      </c>
      <c r="I14" s="20">
        <f>IF(G14="NE","~",IF(G14="","",""))</f>
        <v/>
      </c>
      <c r="J14" s="18" t="n"/>
      <c r="K14" s="19">
        <f>IF(J14="","",IF(J14="NE","",IF(J14="0",0,IF(J14="1",0.5,IF(J14="2",1,0)))*$F14*$F$12*20))</f>
        <v/>
      </c>
      <c r="L14" s="20">
        <f>IF(J14="NE","~",IF(J14="","",""))</f>
        <v/>
      </c>
      <c r="M14" s="18" t="n"/>
      <c r="N14" s="19">
        <f>IF(M14="","",IF(M14="NE","",IF(M14="0",0,IF(M14="1",0.5,IF(M14="2",1,0)))*$F14*$F$12*20))</f>
        <v/>
      </c>
      <c r="O14" s="20">
        <f>IF(M14="NE","~",IF(M14="","",""))</f>
        <v/>
      </c>
      <c r="P14" s="18" t="n"/>
      <c r="Q14" s="19">
        <f>IF(P14="","",IF(P14="NE","",IF(P14="0",0,IF(P14="1",0.5,IF(P14="2",1,0)))*$F14*$F$12*20))</f>
        <v/>
      </c>
      <c r="R14" s="20">
        <f>IF(P14="NE","~",IF(P14="","",""))</f>
        <v/>
      </c>
      <c r="S14" s="18" t="n"/>
      <c r="T14" s="19">
        <f>IF(S14="","",IF(S14="NE","",IF(S14="0",0,IF(S14="1",0.5,IF(S14="2",1,0)))*$F14*$F$12*20))</f>
        <v/>
      </c>
      <c r="U14" s="20">
        <f>IF(S14="NE","~",IF(S14="","",""))</f>
        <v/>
      </c>
      <c r="V14" s="18" t="n"/>
      <c r="W14" s="19">
        <f>IF(V14="","",IF(V14="NE","",IF(V14="0",0,IF(V14="1",0.5,IF(V14="2",1,0)))*$F14*$F$12*20))</f>
        <v/>
      </c>
      <c r="X14" s="20">
        <f>IF(V14="NE","~",IF(V14="","",""))</f>
        <v/>
      </c>
      <c r="Y14" s="18" t="n"/>
      <c r="Z14" s="19">
        <f>IF(Y14="","",IF(Y14="NE","",IF(Y14="0",0,IF(Y14="1",0.5,IF(Y14="2",1,0)))*$F14*$F$12*20))</f>
        <v/>
      </c>
      <c r="AA14" s="20">
        <f>IF(Y14="NE","~",IF(Y14="","",""))</f>
        <v/>
      </c>
      <c r="AB14" s="18" t="n"/>
      <c r="AC14" s="19">
        <f>IF(AB14="","",IF(AB14="NE","",IF(AB14="0",0,IF(AB14="1",0.5,IF(AB14="2",1,0)))*$F14*$F$12*20))</f>
        <v/>
      </c>
      <c r="AD14" s="20">
        <f>IF(AB14="NE","~",IF(AB14="","",""))</f>
        <v/>
      </c>
      <c r="AE14" s="18" t="n"/>
      <c r="AF14" s="19">
        <f>IF(AE14="","",IF(AE14="NE","",IF(AE14="0",0,IF(AE14="1",0.5,IF(AE14="2",1,0)))*$F14*$F$12*20))</f>
        <v/>
      </c>
      <c r="AG14" s="20">
        <f>IF(AE14="NE","~",IF(AE14="","",""))</f>
        <v/>
      </c>
      <c r="AH14" s="18" t="n"/>
      <c r="AI14" s="19">
        <f>IF(AH14="","",IF(AH14="NE","",IF(AH14="0",0,IF(AH14="1",0.5,IF(AH14="2",1,0)))*$F14*$F$12*20))</f>
        <v/>
      </c>
      <c r="AJ14" s="20">
        <f>IF(AH14="NE","~",IF(AH14="","",""))</f>
        <v/>
      </c>
      <c r="AK14" s="18" t="n"/>
      <c r="AL14" s="19">
        <f>IF(AK14="","",IF(AK14="NE","",IF(AK14="0",0,IF(AK14="1",0.5,IF(AK14="2",1,0)))*$F14*$F$12*20))</f>
        <v/>
      </c>
      <c r="AM14" s="20">
        <f>IF(AK14="NE","~",IF(AK14="","",""))</f>
        <v/>
      </c>
      <c r="AN14" s="18" t="n"/>
      <c r="AO14" s="19">
        <f>IF(AN14="","",IF(AN14="NE","",IF(AN14="0",0,IF(AN14="1",0.5,IF(AN14="2",1,0)))*$F14*$F$12*20))</f>
        <v/>
      </c>
      <c r="AP14" s="20">
        <f>IF(AN14="NE","~",IF(AN14="","",""))</f>
        <v/>
      </c>
      <c r="AQ14" s="18" t="n"/>
      <c r="AR14" s="19">
        <f>IF(AQ14="","",IF(AQ14="NE","",IF(AQ14="0",0,IF(AQ14="1",0.5,IF(AQ14="2",1,0)))*$F14*$F$12*20))</f>
        <v/>
      </c>
      <c r="AS14" s="20">
        <f>IF(AQ14="NE","~",IF(AQ14="","",""))</f>
        <v/>
      </c>
      <c r="AT14" s="18" t="n"/>
      <c r="AU14" s="19">
        <f>IF(AT14="","",IF(AT14="NE","",IF(AT14="0",0,IF(AT14="1",0.5,IF(AT14="2",1,0)))*$F14*$F$12*20))</f>
        <v/>
      </c>
      <c r="AV14" s="20">
        <f>IF(AT14="NE","~",IF(AT14="","",""))</f>
        <v/>
      </c>
      <c r="AW14" s="18" t="n"/>
      <c r="AX14" s="19">
        <f>IF(AW14="","",IF(AW14="NE","",IF(AW14="0",0,IF(AW14="1",0.5,IF(AW14="2",1,0)))*$F14*$F$12*20))</f>
        <v/>
      </c>
      <c r="AY14" s="20">
        <f>IF(AW14="NE","~",IF(AW14="","",""))</f>
        <v/>
      </c>
      <c r="AZ14" s="18" t="n"/>
      <c r="BA14" s="19">
        <f>IF(AZ14="","",IF(AZ14="NE","",IF(AZ14="0",0,IF(AZ14="1",0.5,IF(AZ14="2",1,0)))*$F14*$F$12*20))</f>
        <v/>
      </c>
      <c r="BB14" s="20">
        <f>IF(AZ14="NE","~",IF(AZ14="","",""))</f>
        <v/>
      </c>
      <c r="BC14" s="18" t="n"/>
      <c r="BD14" s="19">
        <f>IF(BC14="","",IF(BC14="NE","",IF(BC14="0",0,IF(BC14="1",0.5,IF(BC14="2",1,0)))*$F14*$F$12*20))</f>
        <v/>
      </c>
      <c r="BE14" s="20">
        <f>IF(BC14="NE","~",IF(BC14="","",""))</f>
        <v/>
      </c>
      <c r="BF14" s="18" t="n"/>
      <c r="BG14" s="19">
        <f>IF(BF14="","",IF(BF14="NE","",IF(BF14="0",0,IF(BF14="1",0.5,IF(BF14="2",1,0)))*$F14*$F$12*20))</f>
        <v/>
      </c>
      <c r="BH14" s="20">
        <f>IF(BF14="NE","~",IF(BF14="","",""))</f>
        <v/>
      </c>
      <c r="BI14" s="18" t="n"/>
      <c r="BJ14" s="19">
        <f>IF(BI14="","",IF(BI14="NE","",IF(BI14="0",0,IF(BI14="1",0.5,IF(BI14="2",1,0)))*$F14*$F$12*20))</f>
        <v/>
      </c>
      <c r="BK14" s="20">
        <f>IF(BI14="NE","~",IF(BI14="","",""))</f>
        <v/>
      </c>
      <c r="BL14" s="18" t="n"/>
      <c r="BM14" s="19">
        <f>IF(BL14="","",IF(BL14="NE","",IF(BL14="0",0,IF(BL14="1",0.5,IF(BL14="2",1,0)))*$F14*$F$12*20))</f>
        <v/>
      </c>
      <c r="BN14" s="20">
        <f>IF(BL14="NE","~",IF(BL14="","",""))</f>
        <v/>
      </c>
      <c r="BO14" s="18" t="n"/>
      <c r="BP14" s="19">
        <f>IF(BO14="","",IF(BO14="NE","",IF(BO14="0",0,IF(BO14="1",0.5,IF(BO14="2",1,0)))*$F14*$F$12*20))</f>
        <v/>
      </c>
      <c r="BQ14" s="20">
        <f>IF(BO14="NE","~",IF(BO14="","",""))</f>
        <v/>
      </c>
      <c r="BR14" s="18" t="n"/>
      <c r="BS14" s="19">
        <f>IF(BR14="","",IF(BR14="NE","",IF(BR14="0",0,IF(BR14="1",0.5,IF(BR14="2",1,0)))*$F14*$F$12*20))</f>
        <v/>
      </c>
      <c r="BT14" s="20">
        <f>IF(BR14="NE","~",IF(BR14="","",""))</f>
        <v/>
      </c>
      <c r="BU14" s="18" t="n"/>
      <c r="BV14" s="19">
        <f>IF(BU14="","",IF(BU14="NE","",IF(BU14="0",0,IF(BU14="1",0.5,IF(BU14="2",1,0)))*$F14*$F$12*20))</f>
        <v/>
      </c>
      <c r="BW14" s="20">
        <f>IF(BU14="NE","~",IF(BU14="","",""))</f>
        <v/>
      </c>
      <c r="BX14" s="18" t="n"/>
      <c r="BY14" s="19">
        <f>IF(BX14="","",IF(BX14="NE","",IF(BX14="0",0,IF(BX14="1",0.5,IF(BX14="2",1,0)))*$F14*$F$12*20))</f>
        <v/>
      </c>
      <c r="BZ14" s="20">
        <f>IF(BX14="NE","~",IF(BX14="","",""))</f>
        <v/>
      </c>
      <c r="CA14" s="18" t="n"/>
      <c r="CB14" s="19">
        <f>IF(CA14="","",IF(CA14="NE","",IF(CA14="0",0,IF(CA14="1",0.5,IF(CA14="2",1,0)))*$F14*$F$12*20))</f>
        <v/>
      </c>
      <c r="CC14" s="20">
        <f>IF(CA14="NE","~",IF(CA14="","",""))</f>
        <v/>
      </c>
      <c r="CD14" s="18" t="n"/>
      <c r="CE14" s="19">
        <f>IF(CD14="","",IF(CD14="NE","",IF(CD14="0",0,IF(CD14="1",0.5,IF(CD14="2",1,0)))*$F14*$F$12*20))</f>
        <v/>
      </c>
      <c r="CF14" s="20">
        <f>IF(CD14="NE","~",IF(CD14="","",""))</f>
        <v/>
      </c>
      <c r="CG14" s="18" t="n"/>
      <c r="CH14" s="19">
        <f>IF(CG14="","",IF(CG14="NE","",IF(CG14="0",0,IF(CG14="1",0.5,IF(CG14="2",1,0)))*$F14*$F$12*20))</f>
        <v/>
      </c>
      <c r="CI14" s="20">
        <f>IF(CG14="NE","~",IF(CG14="","",""))</f>
        <v/>
      </c>
      <c r="CJ14" s="18" t="n"/>
      <c r="CK14" s="19">
        <f>IF(CJ14="","",IF(CJ14="NE","",IF(CJ14="0",0,IF(CJ14="1",0.5,IF(CJ14="2",1,0)))*$F14*$F$12*20))</f>
        <v/>
      </c>
      <c r="CL14" s="20">
        <f>IF(CJ14="NE","~",IF(CJ14="","",""))</f>
        <v/>
      </c>
      <c r="CM14" s="18" t="n"/>
      <c r="CN14" s="19">
        <f>IF(CM14="","",IF(CM14="NE","",IF(CM14="0",0,IF(CM14="1",0.5,IF(CM14="2",1,0)))*$F14*$F$12*20))</f>
        <v/>
      </c>
      <c r="CO14" s="20">
        <f>IF(CM14="NE","~",IF(CM14="","",""))</f>
        <v/>
      </c>
      <c r="CP14" s="18" t="n"/>
      <c r="CQ14" s="19">
        <f>IF(CP14="","",IF(CP14="NE","",IF(CP14="0",0,IF(CP14="1",0.5,IF(CP14="2",1,0)))*$F14*$F$12*20))</f>
        <v/>
      </c>
      <c r="CR14" s="20">
        <f>IF(CP14="NE","~",IF(CP14="","",""))</f>
        <v/>
      </c>
    </row>
    <row r="15" ht="36" customHeight="1">
      <c r="A15" s="15" t="n">
        <v>10</v>
      </c>
      <c r="B15" s="15" t="inlineStr">
        <is>
          <t>P2</t>
        </is>
      </c>
      <c r="C15" s="15" t="inlineStr">
        <is>
          <t>Q2.2</t>
        </is>
      </c>
      <c r="D15" s="15" t="inlineStr">
        <is>
          <t>Critère</t>
        </is>
      </c>
      <c r="E15" s="16" t="inlineStr">
        <is>
          <t>Calcul : 6 160 000 × 0,1 = 616 000 kgeq.CO₂/an.</t>
        </is>
      </c>
      <c r="F15" s="17" t="n">
        <v>0.1</v>
      </c>
      <c r="G15" s="18" t="n"/>
      <c r="H15" s="19">
        <f>IF(G15="","",IF(G15="NE","",IF(G15="0",0,IF(G15="1",0.5,IF(G15="2",1,0)))*$F15*$F$12*20))</f>
        <v/>
      </c>
      <c r="I15" s="20">
        <f>IF(G15="NE","~",IF(G15="","",""))</f>
        <v/>
      </c>
      <c r="J15" s="18" t="n"/>
      <c r="K15" s="19">
        <f>IF(J15="","",IF(J15="NE","",IF(J15="0",0,IF(J15="1",0.5,IF(J15="2",1,0)))*$F15*$F$12*20))</f>
        <v/>
      </c>
      <c r="L15" s="20">
        <f>IF(J15="NE","~",IF(J15="","",""))</f>
        <v/>
      </c>
      <c r="M15" s="18" t="n"/>
      <c r="N15" s="19">
        <f>IF(M15="","",IF(M15="NE","",IF(M15="0",0,IF(M15="1",0.5,IF(M15="2",1,0)))*$F15*$F$12*20))</f>
        <v/>
      </c>
      <c r="O15" s="20">
        <f>IF(M15="NE","~",IF(M15="","",""))</f>
        <v/>
      </c>
      <c r="P15" s="18" t="n"/>
      <c r="Q15" s="19">
        <f>IF(P15="","",IF(P15="NE","",IF(P15="0",0,IF(P15="1",0.5,IF(P15="2",1,0)))*$F15*$F$12*20))</f>
        <v/>
      </c>
      <c r="R15" s="20">
        <f>IF(P15="NE","~",IF(P15="","",""))</f>
        <v/>
      </c>
      <c r="S15" s="18" t="n"/>
      <c r="T15" s="19">
        <f>IF(S15="","",IF(S15="NE","",IF(S15="0",0,IF(S15="1",0.5,IF(S15="2",1,0)))*$F15*$F$12*20))</f>
        <v/>
      </c>
      <c r="U15" s="20">
        <f>IF(S15="NE","~",IF(S15="","",""))</f>
        <v/>
      </c>
      <c r="V15" s="18" t="n"/>
      <c r="W15" s="19">
        <f>IF(V15="","",IF(V15="NE","",IF(V15="0",0,IF(V15="1",0.5,IF(V15="2",1,0)))*$F15*$F$12*20))</f>
        <v/>
      </c>
      <c r="X15" s="20">
        <f>IF(V15="NE","~",IF(V15="","",""))</f>
        <v/>
      </c>
      <c r="Y15" s="18" t="n"/>
      <c r="Z15" s="19">
        <f>IF(Y15="","",IF(Y15="NE","",IF(Y15="0",0,IF(Y15="1",0.5,IF(Y15="2",1,0)))*$F15*$F$12*20))</f>
        <v/>
      </c>
      <c r="AA15" s="20">
        <f>IF(Y15="NE","~",IF(Y15="","",""))</f>
        <v/>
      </c>
      <c r="AB15" s="18" t="n"/>
      <c r="AC15" s="19">
        <f>IF(AB15="","",IF(AB15="NE","",IF(AB15="0",0,IF(AB15="1",0.5,IF(AB15="2",1,0)))*$F15*$F$12*20))</f>
        <v/>
      </c>
      <c r="AD15" s="20">
        <f>IF(AB15="NE","~",IF(AB15="","",""))</f>
        <v/>
      </c>
      <c r="AE15" s="18" t="n"/>
      <c r="AF15" s="19">
        <f>IF(AE15="","",IF(AE15="NE","",IF(AE15="0",0,IF(AE15="1",0.5,IF(AE15="2",1,0)))*$F15*$F$12*20))</f>
        <v/>
      </c>
      <c r="AG15" s="20">
        <f>IF(AE15="NE","~",IF(AE15="","",""))</f>
        <v/>
      </c>
      <c r="AH15" s="18" t="n"/>
      <c r="AI15" s="19">
        <f>IF(AH15="","",IF(AH15="NE","",IF(AH15="0",0,IF(AH15="1",0.5,IF(AH15="2",1,0)))*$F15*$F$12*20))</f>
        <v/>
      </c>
      <c r="AJ15" s="20">
        <f>IF(AH15="NE","~",IF(AH15="","",""))</f>
        <v/>
      </c>
      <c r="AK15" s="18" t="n"/>
      <c r="AL15" s="19">
        <f>IF(AK15="","",IF(AK15="NE","",IF(AK15="0",0,IF(AK15="1",0.5,IF(AK15="2",1,0)))*$F15*$F$12*20))</f>
        <v/>
      </c>
      <c r="AM15" s="20">
        <f>IF(AK15="NE","~",IF(AK15="","",""))</f>
        <v/>
      </c>
      <c r="AN15" s="18" t="n"/>
      <c r="AO15" s="19">
        <f>IF(AN15="","",IF(AN15="NE","",IF(AN15="0",0,IF(AN15="1",0.5,IF(AN15="2",1,0)))*$F15*$F$12*20))</f>
        <v/>
      </c>
      <c r="AP15" s="20">
        <f>IF(AN15="NE","~",IF(AN15="","",""))</f>
        <v/>
      </c>
      <c r="AQ15" s="18" t="n"/>
      <c r="AR15" s="19">
        <f>IF(AQ15="","",IF(AQ15="NE","",IF(AQ15="0",0,IF(AQ15="1",0.5,IF(AQ15="2",1,0)))*$F15*$F$12*20))</f>
        <v/>
      </c>
      <c r="AS15" s="20">
        <f>IF(AQ15="NE","~",IF(AQ15="","",""))</f>
        <v/>
      </c>
      <c r="AT15" s="18" t="n"/>
      <c r="AU15" s="19">
        <f>IF(AT15="","",IF(AT15="NE","",IF(AT15="0",0,IF(AT15="1",0.5,IF(AT15="2",1,0)))*$F15*$F$12*20))</f>
        <v/>
      </c>
      <c r="AV15" s="20">
        <f>IF(AT15="NE","~",IF(AT15="","",""))</f>
        <v/>
      </c>
      <c r="AW15" s="18" t="n"/>
      <c r="AX15" s="19">
        <f>IF(AW15="","",IF(AW15="NE","",IF(AW15="0",0,IF(AW15="1",0.5,IF(AW15="2",1,0)))*$F15*$F$12*20))</f>
        <v/>
      </c>
      <c r="AY15" s="20">
        <f>IF(AW15="NE","~",IF(AW15="","",""))</f>
        <v/>
      </c>
      <c r="AZ15" s="18" t="n"/>
      <c r="BA15" s="19">
        <f>IF(AZ15="","",IF(AZ15="NE","",IF(AZ15="0",0,IF(AZ15="1",0.5,IF(AZ15="2",1,0)))*$F15*$F$12*20))</f>
        <v/>
      </c>
      <c r="BB15" s="20">
        <f>IF(AZ15="NE","~",IF(AZ15="","",""))</f>
        <v/>
      </c>
      <c r="BC15" s="18" t="n"/>
      <c r="BD15" s="19">
        <f>IF(BC15="","",IF(BC15="NE","",IF(BC15="0",0,IF(BC15="1",0.5,IF(BC15="2",1,0)))*$F15*$F$12*20))</f>
        <v/>
      </c>
      <c r="BE15" s="20">
        <f>IF(BC15="NE","~",IF(BC15="","",""))</f>
        <v/>
      </c>
      <c r="BF15" s="18" t="n"/>
      <c r="BG15" s="19">
        <f>IF(BF15="","",IF(BF15="NE","",IF(BF15="0",0,IF(BF15="1",0.5,IF(BF15="2",1,0)))*$F15*$F$12*20))</f>
        <v/>
      </c>
      <c r="BH15" s="20">
        <f>IF(BF15="NE","~",IF(BF15="","",""))</f>
        <v/>
      </c>
      <c r="BI15" s="18" t="n"/>
      <c r="BJ15" s="19">
        <f>IF(BI15="","",IF(BI15="NE","",IF(BI15="0",0,IF(BI15="1",0.5,IF(BI15="2",1,0)))*$F15*$F$12*20))</f>
        <v/>
      </c>
      <c r="BK15" s="20">
        <f>IF(BI15="NE","~",IF(BI15="","",""))</f>
        <v/>
      </c>
      <c r="BL15" s="18" t="n"/>
      <c r="BM15" s="19">
        <f>IF(BL15="","",IF(BL15="NE","",IF(BL15="0",0,IF(BL15="1",0.5,IF(BL15="2",1,0)))*$F15*$F$12*20))</f>
        <v/>
      </c>
      <c r="BN15" s="20">
        <f>IF(BL15="NE","~",IF(BL15="","",""))</f>
        <v/>
      </c>
      <c r="BO15" s="18" t="n"/>
      <c r="BP15" s="19">
        <f>IF(BO15="","",IF(BO15="NE","",IF(BO15="0",0,IF(BO15="1",0.5,IF(BO15="2",1,0)))*$F15*$F$12*20))</f>
        <v/>
      </c>
      <c r="BQ15" s="20">
        <f>IF(BO15="NE","~",IF(BO15="","",""))</f>
        <v/>
      </c>
      <c r="BR15" s="18" t="n"/>
      <c r="BS15" s="19">
        <f>IF(BR15="","",IF(BR15="NE","",IF(BR15="0",0,IF(BR15="1",0.5,IF(BR15="2",1,0)))*$F15*$F$12*20))</f>
        <v/>
      </c>
      <c r="BT15" s="20">
        <f>IF(BR15="NE","~",IF(BR15="","",""))</f>
        <v/>
      </c>
      <c r="BU15" s="18" t="n"/>
      <c r="BV15" s="19">
        <f>IF(BU15="","",IF(BU15="NE","",IF(BU15="0",0,IF(BU15="1",0.5,IF(BU15="2",1,0)))*$F15*$F$12*20))</f>
        <v/>
      </c>
      <c r="BW15" s="20">
        <f>IF(BU15="NE","~",IF(BU15="","",""))</f>
        <v/>
      </c>
      <c r="BX15" s="18" t="n"/>
      <c r="BY15" s="19">
        <f>IF(BX15="","",IF(BX15="NE","",IF(BX15="0",0,IF(BX15="1",0.5,IF(BX15="2",1,0)))*$F15*$F$12*20))</f>
        <v/>
      </c>
      <c r="BZ15" s="20">
        <f>IF(BX15="NE","~",IF(BX15="","",""))</f>
        <v/>
      </c>
      <c r="CA15" s="18" t="n"/>
      <c r="CB15" s="19">
        <f>IF(CA15="","",IF(CA15="NE","",IF(CA15="0",0,IF(CA15="1",0.5,IF(CA15="2",1,0)))*$F15*$F$12*20))</f>
        <v/>
      </c>
      <c r="CC15" s="20">
        <f>IF(CA15="NE","~",IF(CA15="","",""))</f>
        <v/>
      </c>
      <c r="CD15" s="18" t="n"/>
      <c r="CE15" s="19">
        <f>IF(CD15="","",IF(CD15="NE","",IF(CD15="0",0,IF(CD15="1",0.5,IF(CD15="2",1,0)))*$F15*$F$12*20))</f>
        <v/>
      </c>
      <c r="CF15" s="20">
        <f>IF(CD15="NE","~",IF(CD15="","",""))</f>
        <v/>
      </c>
      <c r="CG15" s="18" t="n"/>
      <c r="CH15" s="19">
        <f>IF(CG15="","",IF(CG15="NE","",IF(CG15="0",0,IF(CG15="1",0.5,IF(CG15="2",1,0)))*$F15*$F$12*20))</f>
        <v/>
      </c>
      <c r="CI15" s="20">
        <f>IF(CG15="NE","~",IF(CG15="","",""))</f>
        <v/>
      </c>
      <c r="CJ15" s="18" t="n"/>
      <c r="CK15" s="19">
        <f>IF(CJ15="","",IF(CJ15="NE","",IF(CJ15="0",0,IF(CJ15="1",0.5,IF(CJ15="2",1,0)))*$F15*$F$12*20))</f>
        <v/>
      </c>
      <c r="CL15" s="20">
        <f>IF(CJ15="NE","~",IF(CJ15="","",""))</f>
        <v/>
      </c>
      <c r="CM15" s="18" t="n"/>
      <c r="CN15" s="19">
        <f>IF(CM15="","",IF(CM15="NE","",IF(CM15="0",0,IF(CM15="1",0.5,IF(CM15="2",1,0)))*$F15*$F$12*20))</f>
        <v/>
      </c>
      <c r="CO15" s="20">
        <f>IF(CM15="NE","~",IF(CM15="","",""))</f>
        <v/>
      </c>
      <c r="CP15" s="18" t="n"/>
      <c r="CQ15" s="19">
        <f>IF(CP15="","",IF(CP15="NE","",IF(CP15="0",0,IF(CP15="1",0.5,IF(CP15="2",1,0)))*$F15*$F$12*20))</f>
        <v/>
      </c>
      <c r="CR15" s="20">
        <f>IF(CP15="NE","~",IF(CP15="","",""))</f>
        <v/>
      </c>
    </row>
    <row r="16" ht="36" customHeight="1">
      <c r="A16" s="15" t="n">
        <v>11</v>
      </c>
      <c r="B16" s="15" t="inlineStr">
        <is>
          <t>P2</t>
        </is>
      </c>
      <c r="C16" s="15" t="inlineStr">
        <is>
          <t>Q2.2</t>
        </is>
      </c>
      <c r="D16" s="15" t="inlineStr">
        <is>
          <t>Critère</t>
        </is>
      </c>
      <c r="E16" s="16" t="inlineStr">
        <is>
          <t>Ligne (1) DR2 correctement complétée.</t>
        </is>
      </c>
      <c r="F16" s="17" t="n">
        <v>0.1</v>
      </c>
      <c r="G16" s="18" t="n"/>
      <c r="H16" s="19">
        <f>IF(G16="","",IF(G16="NE","",IF(G16="0",0,IF(G16="1",0.5,IF(G16="2",1,0)))*$F16*$F$12*20))</f>
        <v/>
      </c>
      <c r="I16" s="20">
        <f>IF(G16="NE","~",IF(G16="","",""))</f>
        <v/>
      </c>
      <c r="J16" s="18" t="n"/>
      <c r="K16" s="19">
        <f>IF(J16="","",IF(J16="NE","",IF(J16="0",0,IF(J16="1",0.5,IF(J16="2",1,0)))*$F16*$F$12*20))</f>
        <v/>
      </c>
      <c r="L16" s="20">
        <f>IF(J16="NE","~",IF(J16="","",""))</f>
        <v/>
      </c>
      <c r="M16" s="18" t="n"/>
      <c r="N16" s="19">
        <f>IF(M16="","",IF(M16="NE","",IF(M16="0",0,IF(M16="1",0.5,IF(M16="2",1,0)))*$F16*$F$12*20))</f>
        <v/>
      </c>
      <c r="O16" s="20">
        <f>IF(M16="NE","~",IF(M16="","",""))</f>
        <v/>
      </c>
      <c r="P16" s="18" t="n"/>
      <c r="Q16" s="19">
        <f>IF(P16="","",IF(P16="NE","",IF(P16="0",0,IF(P16="1",0.5,IF(P16="2",1,0)))*$F16*$F$12*20))</f>
        <v/>
      </c>
      <c r="R16" s="20">
        <f>IF(P16="NE","~",IF(P16="","",""))</f>
        <v/>
      </c>
      <c r="S16" s="18" t="n"/>
      <c r="T16" s="19">
        <f>IF(S16="","",IF(S16="NE","",IF(S16="0",0,IF(S16="1",0.5,IF(S16="2",1,0)))*$F16*$F$12*20))</f>
        <v/>
      </c>
      <c r="U16" s="20">
        <f>IF(S16="NE","~",IF(S16="","",""))</f>
        <v/>
      </c>
      <c r="V16" s="18" t="n"/>
      <c r="W16" s="19">
        <f>IF(V16="","",IF(V16="NE","",IF(V16="0",0,IF(V16="1",0.5,IF(V16="2",1,0)))*$F16*$F$12*20))</f>
        <v/>
      </c>
      <c r="X16" s="20">
        <f>IF(V16="NE","~",IF(V16="","",""))</f>
        <v/>
      </c>
      <c r="Y16" s="18" t="n"/>
      <c r="Z16" s="19">
        <f>IF(Y16="","",IF(Y16="NE","",IF(Y16="0",0,IF(Y16="1",0.5,IF(Y16="2",1,0)))*$F16*$F$12*20))</f>
        <v/>
      </c>
      <c r="AA16" s="20">
        <f>IF(Y16="NE","~",IF(Y16="","",""))</f>
        <v/>
      </c>
      <c r="AB16" s="18" t="n"/>
      <c r="AC16" s="19">
        <f>IF(AB16="","",IF(AB16="NE","",IF(AB16="0",0,IF(AB16="1",0.5,IF(AB16="2",1,0)))*$F16*$F$12*20))</f>
        <v/>
      </c>
      <c r="AD16" s="20">
        <f>IF(AB16="NE","~",IF(AB16="","",""))</f>
        <v/>
      </c>
      <c r="AE16" s="18" t="n"/>
      <c r="AF16" s="19">
        <f>IF(AE16="","",IF(AE16="NE","",IF(AE16="0",0,IF(AE16="1",0.5,IF(AE16="2",1,0)))*$F16*$F$12*20))</f>
        <v/>
      </c>
      <c r="AG16" s="20">
        <f>IF(AE16="NE","~",IF(AE16="","",""))</f>
        <v/>
      </c>
      <c r="AH16" s="18" t="n"/>
      <c r="AI16" s="19">
        <f>IF(AH16="","",IF(AH16="NE","",IF(AH16="0",0,IF(AH16="1",0.5,IF(AH16="2",1,0)))*$F16*$F$12*20))</f>
        <v/>
      </c>
      <c r="AJ16" s="20">
        <f>IF(AH16="NE","~",IF(AH16="","",""))</f>
        <v/>
      </c>
      <c r="AK16" s="18" t="n"/>
      <c r="AL16" s="19">
        <f>IF(AK16="","",IF(AK16="NE","",IF(AK16="0",0,IF(AK16="1",0.5,IF(AK16="2",1,0)))*$F16*$F$12*20))</f>
        <v/>
      </c>
      <c r="AM16" s="20">
        <f>IF(AK16="NE","~",IF(AK16="","",""))</f>
        <v/>
      </c>
      <c r="AN16" s="18" t="n"/>
      <c r="AO16" s="19">
        <f>IF(AN16="","",IF(AN16="NE","",IF(AN16="0",0,IF(AN16="1",0.5,IF(AN16="2",1,0)))*$F16*$F$12*20))</f>
        <v/>
      </c>
      <c r="AP16" s="20">
        <f>IF(AN16="NE","~",IF(AN16="","",""))</f>
        <v/>
      </c>
      <c r="AQ16" s="18" t="n"/>
      <c r="AR16" s="19">
        <f>IF(AQ16="","",IF(AQ16="NE","",IF(AQ16="0",0,IF(AQ16="1",0.5,IF(AQ16="2",1,0)))*$F16*$F$12*20))</f>
        <v/>
      </c>
      <c r="AS16" s="20">
        <f>IF(AQ16="NE","~",IF(AQ16="","",""))</f>
        <v/>
      </c>
      <c r="AT16" s="18" t="n"/>
      <c r="AU16" s="19">
        <f>IF(AT16="","",IF(AT16="NE","",IF(AT16="0",0,IF(AT16="1",0.5,IF(AT16="2",1,0)))*$F16*$F$12*20))</f>
        <v/>
      </c>
      <c r="AV16" s="20">
        <f>IF(AT16="NE","~",IF(AT16="","",""))</f>
        <v/>
      </c>
      <c r="AW16" s="18" t="n"/>
      <c r="AX16" s="19">
        <f>IF(AW16="","",IF(AW16="NE","",IF(AW16="0",0,IF(AW16="1",0.5,IF(AW16="2",1,0)))*$F16*$F$12*20))</f>
        <v/>
      </c>
      <c r="AY16" s="20">
        <f>IF(AW16="NE","~",IF(AW16="","",""))</f>
        <v/>
      </c>
      <c r="AZ16" s="18" t="n"/>
      <c r="BA16" s="19">
        <f>IF(AZ16="","",IF(AZ16="NE","",IF(AZ16="0",0,IF(AZ16="1",0.5,IF(AZ16="2",1,0)))*$F16*$F$12*20))</f>
        <v/>
      </c>
      <c r="BB16" s="20">
        <f>IF(AZ16="NE","~",IF(AZ16="","",""))</f>
        <v/>
      </c>
      <c r="BC16" s="18" t="n"/>
      <c r="BD16" s="19">
        <f>IF(BC16="","",IF(BC16="NE","",IF(BC16="0",0,IF(BC16="1",0.5,IF(BC16="2",1,0)))*$F16*$F$12*20))</f>
        <v/>
      </c>
      <c r="BE16" s="20">
        <f>IF(BC16="NE","~",IF(BC16="","",""))</f>
        <v/>
      </c>
      <c r="BF16" s="18" t="n"/>
      <c r="BG16" s="19">
        <f>IF(BF16="","",IF(BF16="NE","",IF(BF16="0",0,IF(BF16="1",0.5,IF(BF16="2",1,0)))*$F16*$F$12*20))</f>
        <v/>
      </c>
      <c r="BH16" s="20">
        <f>IF(BF16="NE","~",IF(BF16="","",""))</f>
        <v/>
      </c>
      <c r="BI16" s="18" t="n"/>
      <c r="BJ16" s="19">
        <f>IF(BI16="","",IF(BI16="NE","",IF(BI16="0",0,IF(BI16="1",0.5,IF(BI16="2",1,0)))*$F16*$F$12*20))</f>
        <v/>
      </c>
      <c r="BK16" s="20">
        <f>IF(BI16="NE","~",IF(BI16="","",""))</f>
        <v/>
      </c>
      <c r="BL16" s="18" t="n"/>
      <c r="BM16" s="19">
        <f>IF(BL16="","",IF(BL16="NE","",IF(BL16="0",0,IF(BL16="1",0.5,IF(BL16="2",1,0)))*$F16*$F$12*20))</f>
        <v/>
      </c>
      <c r="BN16" s="20">
        <f>IF(BL16="NE","~",IF(BL16="","",""))</f>
        <v/>
      </c>
      <c r="BO16" s="18" t="n"/>
      <c r="BP16" s="19">
        <f>IF(BO16="","",IF(BO16="NE","",IF(BO16="0",0,IF(BO16="1",0.5,IF(BO16="2",1,0)))*$F16*$F$12*20))</f>
        <v/>
      </c>
      <c r="BQ16" s="20">
        <f>IF(BO16="NE","~",IF(BO16="","",""))</f>
        <v/>
      </c>
      <c r="BR16" s="18" t="n"/>
      <c r="BS16" s="19">
        <f>IF(BR16="","",IF(BR16="NE","",IF(BR16="0",0,IF(BR16="1",0.5,IF(BR16="2",1,0)))*$F16*$F$12*20))</f>
        <v/>
      </c>
      <c r="BT16" s="20">
        <f>IF(BR16="NE","~",IF(BR16="","",""))</f>
        <v/>
      </c>
      <c r="BU16" s="18" t="n"/>
      <c r="BV16" s="19">
        <f>IF(BU16="","",IF(BU16="NE","",IF(BU16="0",0,IF(BU16="1",0.5,IF(BU16="2",1,0)))*$F16*$F$12*20))</f>
        <v/>
      </c>
      <c r="BW16" s="20">
        <f>IF(BU16="NE","~",IF(BU16="","",""))</f>
        <v/>
      </c>
      <c r="BX16" s="18" t="n"/>
      <c r="BY16" s="19">
        <f>IF(BX16="","",IF(BX16="NE","",IF(BX16="0",0,IF(BX16="1",0.5,IF(BX16="2",1,0)))*$F16*$F$12*20))</f>
        <v/>
      </c>
      <c r="BZ16" s="20">
        <f>IF(BX16="NE","~",IF(BX16="","",""))</f>
        <v/>
      </c>
      <c r="CA16" s="18" t="n"/>
      <c r="CB16" s="19">
        <f>IF(CA16="","",IF(CA16="NE","",IF(CA16="0",0,IF(CA16="1",0.5,IF(CA16="2",1,0)))*$F16*$F$12*20))</f>
        <v/>
      </c>
      <c r="CC16" s="20">
        <f>IF(CA16="NE","~",IF(CA16="","",""))</f>
        <v/>
      </c>
      <c r="CD16" s="18" t="n"/>
      <c r="CE16" s="19">
        <f>IF(CD16="","",IF(CD16="NE","",IF(CD16="0",0,IF(CD16="1",0.5,IF(CD16="2",1,0)))*$F16*$F$12*20))</f>
        <v/>
      </c>
      <c r="CF16" s="20">
        <f>IF(CD16="NE","~",IF(CD16="","",""))</f>
        <v/>
      </c>
      <c r="CG16" s="18" t="n"/>
      <c r="CH16" s="19">
        <f>IF(CG16="","",IF(CG16="NE","",IF(CG16="0",0,IF(CG16="1",0.5,IF(CG16="2",1,0)))*$F16*$F$12*20))</f>
        <v/>
      </c>
      <c r="CI16" s="20">
        <f>IF(CG16="NE","~",IF(CG16="","",""))</f>
        <v/>
      </c>
      <c r="CJ16" s="18" t="n"/>
      <c r="CK16" s="19">
        <f>IF(CJ16="","",IF(CJ16="NE","",IF(CJ16="0",0,IF(CJ16="1",0.5,IF(CJ16="2",1,0)))*$F16*$F$12*20))</f>
        <v/>
      </c>
      <c r="CL16" s="20">
        <f>IF(CJ16="NE","~",IF(CJ16="","",""))</f>
        <v/>
      </c>
      <c r="CM16" s="18" t="n"/>
      <c r="CN16" s="19">
        <f>IF(CM16="","",IF(CM16="NE","",IF(CM16="0",0,IF(CM16="1",0.5,IF(CM16="2",1,0)))*$F16*$F$12*20))</f>
        <v/>
      </c>
      <c r="CO16" s="20">
        <f>IF(CM16="NE","~",IF(CM16="","",""))</f>
        <v/>
      </c>
      <c r="CP16" s="18" t="n"/>
      <c r="CQ16" s="19">
        <f>IF(CP16="","",IF(CP16="NE","",IF(CP16="0",0,IF(CP16="1",0.5,IF(CP16="2",1,0)))*$F16*$F$12*20))</f>
        <v/>
      </c>
      <c r="CR16" s="20">
        <f>IF(CP16="NE","~",IF(CP16="","",""))</f>
        <v/>
      </c>
    </row>
    <row r="17" ht="36" customHeight="1">
      <c r="A17" s="15" t="n">
        <v>12</v>
      </c>
      <c r="B17" s="15" t="inlineStr">
        <is>
          <t>P2</t>
        </is>
      </c>
      <c r="C17" s="15" t="inlineStr">
        <is>
          <t>Q2.3</t>
        </is>
      </c>
      <c r="D17" s="15" t="inlineStr">
        <is>
          <t>Critère</t>
        </is>
      </c>
      <c r="E17" s="16" t="inlineStr">
        <is>
          <t>Calcul : 5 296 000 × (−0,2) = −1 059 200 kgeq.CO₂/an.</t>
        </is>
      </c>
      <c r="F17" s="17" t="n">
        <v>0.1</v>
      </c>
      <c r="G17" s="18" t="n"/>
      <c r="H17" s="19">
        <f>IF(G17="","",IF(G17="NE","",IF(G17="0",0,IF(G17="1",0.5,IF(G17="2",1,0)))*$F17*$F$12*20))</f>
        <v/>
      </c>
      <c r="I17" s="20">
        <f>IF(G17="NE","~",IF(G17="","",""))</f>
        <v/>
      </c>
      <c r="J17" s="18" t="n"/>
      <c r="K17" s="19">
        <f>IF(J17="","",IF(J17="NE","",IF(J17="0",0,IF(J17="1",0.5,IF(J17="2",1,0)))*$F17*$F$12*20))</f>
        <v/>
      </c>
      <c r="L17" s="20">
        <f>IF(J17="NE","~",IF(J17="","",""))</f>
        <v/>
      </c>
      <c r="M17" s="18" t="n"/>
      <c r="N17" s="19">
        <f>IF(M17="","",IF(M17="NE","",IF(M17="0",0,IF(M17="1",0.5,IF(M17="2",1,0)))*$F17*$F$12*20))</f>
        <v/>
      </c>
      <c r="O17" s="20">
        <f>IF(M17="NE","~",IF(M17="","",""))</f>
        <v/>
      </c>
      <c r="P17" s="18" t="n"/>
      <c r="Q17" s="19">
        <f>IF(P17="","",IF(P17="NE","",IF(P17="0",0,IF(P17="1",0.5,IF(P17="2",1,0)))*$F17*$F$12*20))</f>
        <v/>
      </c>
      <c r="R17" s="20">
        <f>IF(P17="NE","~",IF(P17="","",""))</f>
        <v/>
      </c>
      <c r="S17" s="18" t="n"/>
      <c r="T17" s="19">
        <f>IF(S17="","",IF(S17="NE","",IF(S17="0",0,IF(S17="1",0.5,IF(S17="2",1,0)))*$F17*$F$12*20))</f>
        <v/>
      </c>
      <c r="U17" s="20">
        <f>IF(S17="NE","~",IF(S17="","",""))</f>
        <v/>
      </c>
      <c r="V17" s="18" t="n"/>
      <c r="W17" s="19">
        <f>IF(V17="","",IF(V17="NE","",IF(V17="0",0,IF(V17="1",0.5,IF(V17="2",1,0)))*$F17*$F$12*20))</f>
        <v/>
      </c>
      <c r="X17" s="20">
        <f>IF(V17="NE","~",IF(V17="","",""))</f>
        <v/>
      </c>
      <c r="Y17" s="18" t="n"/>
      <c r="Z17" s="19">
        <f>IF(Y17="","",IF(Y17="NE","",IF(Y17="0",0,IF(Y17="1",0.5,IF(Y17="2",1,0)))*$F17*$F$12*20))</f>
        <v/>
      </c>
      <c r="AA17" s="20">
        <f>IF(Y17="NE","~",IF(Y17="","",""))</f>
        <v/>
      </c>
      <c r="AB17" s="18" t="n"/>
      <c r="AC17" s="19">
        <f>IF(AB17="","",IF(AB17="NE","",IF(AB17="0",0,IF(AB17="1",0.5,IF(AB17="2",1,0)))*$F17*$F$12*20))</f>
        <v/>
      </c>
      <c r="AD17" s="20">
        <f>IF(AB17="NE","~",IF(AB17="","",""))</f>
        <v/>
      </c>
      <c r="AE17" s="18" t="n"/>
      <c r="AF17" s="19">
        <f>IF(AE17="","",IF(AE17="NE","",IF(AE17="0",0,IF(AE17="1",0.5,IF(AE17="2",1,0)))*$F17*$F$12*20))</f>
        <v/>
      </c>
      <c r="AG17" s="20">
        <f>IF(AE17="NE","~",IF(AE17="","",""))</f>
        <v/>
      </c>
      <c r="AH17" s="18" t="n"/>
      <c r="AI17" s="19">
        <f>IF(AH17="","",IF(AH17="NE","",IF(AH17="0",0,IF(AH17="1",0.5,IF(AH17="2",1,0)))*$F17*$F$12*20))</f>
        <v/>
      </c>
      <c r="AJ17" s="20">
        <f>IF(AH17="NE","~",IF(AH17="","",""))</f>
        <v/>
      </c>
      <c r="AK17" s="18" t="n"/>
      <c r="AL17" s="19">
        <f>IF(AK17="","",IF(AK17="NE","",IF(AK17="0",0,IF(AK17="1",0.5,IF(AK17="2",1,0)))*$F17*$F$12*20))</f>
        <v/>
      </c>
      <c r="AM17" s="20">
        <f>IF(AK17="NE","~",IF(AK17="","",""))</f>
        <v/>
      </c>
      <c r="AN17" s="18" t="n"/>
      <c r="AO17" s="19">
        <f>IF(AN17="","",IF(AN17="NE","",IF(AN17="0",0,IF(AN17="1",0.5,IF(AN17="2",1,0)))*$F17*$F$12*20))</f>
        <v/>
      </c>
      <c r="AP17" s="20">
        <f>IF(AN17="NE","~",IF(AN17="","",""))</f>
        <v/>
      </c>
      <c r="AQ17" s="18" t="n"/>
      <c r="AR17" s="19">
        <f>IF(AQ17="","",IF(AQ17="NE","",IF(AQ17="0",0,IF(AQ17="1",0.5,IF(AQ17="2",1,0)))*$F17*$F$12*20))</f>
        <v/>
      </c>
      <c r="AS17" s="20">
        <f>IF(AQ17="NE","~",IF(AQ17="","",""))</f>
        <v/>
      </c>
      <c r="AT17" s="18" t="n"/>
      <c r="AU17" s="19">
        <f>IF(AT17="","",IF(AT17="NE","",IF(AT17="0",0,IF(AT17="1",0.5,IF(AT17="2",1,0)))*$F17*$F$12*20))</f>
        <v/>
      </c>
      <c r="AV17" s="20">
        <f>IF(AT17="NE","~",IF(AT17="","",""))</f>
        <v/>
      </c>
      <c r="AW17" s="18" t="n"/>
      <c r="AX17" s="19">
        <f>IF(AW17="","",IF(AW17="NE","",IF(AW17="0",0,IF(AW17="1",0.5,IF(AW17="2",1,0)))*$F17*$F$12*20))</f>
        <v/>
      </c>
      <c r="AY17" s="20">
        <f>IF(AW17="NE","~",IF(AW17="","",""))</f>
        <v/>
      </c>
      <c r="AZ17" s="18" t="n"/>
      <c r="BA17" s="19">
        <f>IF(AZ17="","",IF(AZ17="NE","",IF(AZ17="0",0,IF(AZ17="1",0.5,IF(AZ17="2",1,0)))*$F17*$F$12*20))</f>
        <v/>
      </c>
      <c r="BB17" s="20">
        <f>IF(AZ17="NE","~",IF(AZ17="","",""))</f>
        <v/>
      </c>
      <c r="BC17" s="18" t="n"/>
      <c r="BD17" s="19">
        <f>IF(BC17="","",IF(BC17="NE","",IF(BC17="0",0,IF(BC17="1",0.5,IF(BC17="2",1,0)))*$F17*$F$12*20))</f>
        <v/>
      </c>
      <c r="BE17" s="20">
        <f>IF(BC17="NE","~",IF(BC17="","",""))</f>
        <v/>
      </c>
      <c r="BF17" s="18" t="n"/>
      <c r="BG17" s="19">
        <f>IF(BF17="","",IF(BF17="NE","",IF(BF17="0",0,IF(BF17="1",0.5,IF(BF17="2",1,0)))*$F17*$F$12*20))</f>
        <v/>
      </c>
      <c r="BH17" s="20">
        <f>IF(BF17="NE","~",IF(BF17="","",""))</f>
        <v/>
      </c>
      <c r="BI17" s="18" t="n"/>
      <c r="BJ17" s="19">
        <f>IF(BI17="","",IF(BI17="NE","",IF(BI17="0",0,IF(BI17="1",0.5,IF(BI17="2",1,0)))*$F17*$F$12*20))</f>
        <v/>
      </c>
      <c r="BK17" s="20">
        <f>IF(BI17="NE","~",IF(BI17="","",""))</f>
        <v/>
      </c>
      <c r="BL17" s="18" t="n"/>
      <c r="BM17" s="19">
        <f>IF(BL17="","",IF(BL17="NE","",IF(BL17="0",0,IF(BL17="1",0.5,IF(BL17="2",1,0)))*$F17*$F$12*20))</f>
        <v/>
      </c>
      <c r="BN17" s="20">
        <f>IF(BL17="NE","~",IF(BL17="","",""))</f>
        <v/>
      </c>
      <c r="BO17" s="18" t="n"/>
      <c r="BP17" s="19">
        <f>IF(BO17="","",IF(BO17="NE","",IF(BO17="0",0,IF(BO17="1",0.5,IF(BO17="2",1,0)))*$F17*$F$12*20))</f>
        <v/>
      </c>
      <c r="BQ17" s="20">
        <f>IF(BO17="NE","~",IF(BO17="","",""))</f>
        <v/>
      </c>
      <c r="BR17" s="18" t="n"/>
      <c r="BS17" s="19">
        <f>IF(BR17="","",IF(BR17="NE","",IF(BR17="0",0,IF(BR17="1",0.5,IF(BR17="2",1,0)))*$F17*$F$12*20))</f>
        <v/>
      </c>
      <c r="BT17" s="20">
        <f>IF(BR17="NE","~",IF(BR17="","",""))</f>
        <v/>
      </c>
      <c r="BU17" s="18" t="n"/>
      <c r="BV17" s="19">
        <f>IF(BU17="","",IF(BU17="NE","",IF(BU17="0",0,IF(BU17="1",0.5,IF(BU17="2",1,0)))*$F17*$F$12*20))</f>
        <v/>
      </c>
      <c r="BW17" s="20">
        <f>IF(BU17="NE","~",IF(BU17="","",""))</f>
        <v/>
      </c>
      <c r="BX17" s="18" t="n"/>
      <c r="BY17" s="19">
        <f>IF(BX17="","",IF(BX17="NE","",IF(BX17="0",0,IF(BX17="1",0.5,IF(BX17="2",1,0)))*$F17*$F$12*20))</f>
        <v/>
      </c>
      <c r="BZ17" s="20">
        <f>IF(BX17="NE","~",IF(BX17="","",""))</f>
        <v/>
      </c>
      <c r="CA17" s="18" t="n"/>
      <c r="CB17" s="19">
        <f>IF(CA17="","",IF(CA17="NE","",IF(CA17="0",0,IF(CA17="1",0.5,IF(CA17="2",1,0)))*$F17*$F$12*20))</f>
        <v/>
      </c>
      <c r="CC17" s="20">
        <f>IF(CA17="NE","~",IF(CA17="","",""))</f>
        <v/>
      </c>
      <c r="CD17" s="18" t="n"/>
      <c r="CE17" s="19">
        <f>IF(CD17="","",IF(CD17="NE","",IF(CD17="0",0,IF(CD17="1",0.5,IF(CD17="2",1,0)))*$F17*$F$12*20))</f>
        <v/>
      </c>
      <c r="CF17" s="20">
        <f>IF(CD17="NE","~",IF(CD17="","",""))</f>
        <v/>
      </c>
      <c r="CG17" s="18" t="n"/>
      <c r="CH17" s="19">
        <f>IF(CG17="","",IF(CG17="NE","",IF(CG17="0",0,IF(CG17="1",0.5,IF(CG17="2",1,0)))*$F17*$F$12*20))</f>
        <v/>
      </c>
      <c r="CI17" s="20">
        <f>IF(CG17="NE","~",IF(CG17="","",""))</f>
        <v/>
      </c>
      <c r="CJ17" s="18" t="n"/>
      <c r="CK17" s="19">
        <f>IF(CJ17="","",IF(CJ17="NE","",IF(CJ17="0",0,IF(CJ17="1",0.5,IF(CJ17="2",1,0)))*$F17*$F$12*20))</f>
        <v/>
      </c>
      <c r="CL17" s="20">
        <f>IF(CJ17="NE","~",IF(CJ17="","",""))</f>
        <v/>
      </c>
      <c r="CM17" s="18" t="n"/>
      <c r="CN17" s="19">
        <f>IF(CM17="","",IF(CM17="NE","",IF(CM17="0",0,IF(CM17="1",0.5,IF(CM17="2",1,0)))*$F17*$F$12*20))</f>
        <v/>
      </c>
      <c r="CO17" s="20">
        <f>IF(CM17="NE","~",IF(CM17="","",""))</f>
        <v/>
      </c>
      <c r="CP17" s="18" t="n"/>
      <c r="CQ17" s="19">
        <f>IF(CP17="","",IF(CP17="NE","",IF(CP17="0",0,IF(CP17="1",0.5,IF(CP17="2",1,0)))*$F17*$F$12*20))</f>
        <v/>
      </c>
      <c r="CR17" s="20">
        <f>IF(CP17="NE","~",IF(CP17="","",""))</f>
        <v/>
      </c>
    </row>
    <row r="18" ht="36" customHeight="1">
      <c r="A18" s="15" t="n">
        <v>13</v>
      </c>
      <c r="B18" s="15" t="inlineStr">
        <is>
          <t>P2</t>
        </is>
      </c>
      <c r="C18" s="15" t="inlineStr">
        <is>
          <t>Q2.3</t>
        </is>
      </c>
      <c r="D18" s="15" t="inlineStr">
        <is>
          <t>Critère</t>
        </is>
      </c>
      <c r="E18" s="16" t="inlineStr">
        <is>
          <t>Ligne (4) DR2 correctement complétée.</t>
        </is>
      </c>
      <c r="F18" s="17" t="n">
        <v>0.1</v>
      </c>
      <c r="G18" s="18" t="n"/>
      <c r="H18" s="19">
        <f>IF(G18="","",IF(G18="NE","",IF(G18="0",0,IF(G18="1",0.5,IF(G18="2",1,0)))*$F18*$F$12*20))</f>
        <v/>
      </c>
      <c r="I18" s="20">
        <f>IF(G18="NE","~",IF(G18="","",""))</f>
        <v/>
      </c>
      <c r="J18" s="18" t="n"/>
      <c r="K18" s="19">
        <f>IF(J18="","",IF(J18="NE","",IF(J18="0",0,IF(J18="1",0.5,IF(J18="2",1,0)))*$F18*$F$12*20))</f>
        <v/>
      </c>
      <c r="L18" s="20">
        <f>IF(J18="NE","~",IF(J18="","",""))</f>
        <v/>
      </c>
      <c r="M18" s="18" t="n"/>
      <c r="N18" s="19">
        <f>IF(M18="","",IF(M18="NE","",IF(M18="0",0,IF(M18="1",0.5,IF(M18="2",1,0)))*$F18*$F$12*20))</f>
        <v/>
      </c>
      <c r="O18" s="20">
        <f>IF(M18="NE","~",IF(M18="","",""))</f>
        <v/>
      </c>
      <c r="P18" s="18" t="n"/>
      <c r="Q18" s="19">
        <f>IF(P18="","",IF(P18="NE","",IF(P18="0",0,IF(P18="1",0.5,IF(P18="2",1,0)))*$F18*$F$12*20))</f>
        <v/>
      </c>
      <c r="R18" s="20">
        <f>IF(P18="NE","~",IF(P18="","",""))</f>
        <v/>
      </c>
      <c r="S18" s="18" t="n"/>
      <c r="T18" s="19">
        <f>IF(S18="","",IF(S18="NE","",IF(S18="0",0,IF(S18="1",0.5,IF(S18="2",1,0)))*$F18*$F$12*20))</f>
        <v/>
      </c>
      <c r="U18" s="20">
        <f>IF(S18="NE","~",IF(S18="","",""))</f>
        <v/>
      </c>
      <c r="V18" s="18" t="n"/>
      <c r="W18" s="19">
        <f>IF(V18="","",IF(V18="NE","",IF(V18="0",0,IF(V18="1",0.5,IF(V18="2",1,0)))*$F18*$F$12*20))</f>
        <v/>
      </c>
      <c r="X18" s="20">
        <f>IF(V18="NE","~",IF(V18="","",""))</f>
        <v/>
      </c>
      <c r="Y18" s="18" t="n"/>
      <c r="Z18" s="19">
        <f>IF(Y18="","",IF(Y18="NE","",IF(Y18="0",0,IF(Y18="1",0.5,IF(Y18="2",1,0)))*$F18*$F$12*20))</f>
        <v/>
      </c>
      <c r="AA18" s="20">
        <f>IF(Y18="NE","~",IF(Y18="","",""))</f>
        <v/>
      </c>
      <c r="AB18" s="18" t="n"/>
      <c r="AC18" s="19">
        <f>IF(AB18="","",IF(AB18="NE","",IF(AB18="0",0,IF(AB18="1",0.5,IF(AB18="2",1,0)))*$F18*$F$12*20))</f>
        <v/>
      </c>
      <c r="AD18" s="20">
        <f>IF(AB18="NE","~",IF(AB18="","",""))</f>
        <v/>
      </c>
      <c r="AE18" s="18" t="n"/>
      <c r="AF18" s="19">
        <f>IF(AE18="","",IF(AE18="NE","",IF(AE18="0",0,IF(AE18="1",0.5,IF(AE18="2",1,0)))*$F18*$F$12*20))</f>
        <v/>
      </c>
      <c r="AG18" s="20">
        <f>IF(AE18="NE","~",IF(AE18="","",""))</f>
        <v/>
      </c>
      <c r="AH18" s="18" t="n"/>
      <c r="AI18" s="19">
        <f>IF(AH18="","",IF(AH18="NE","",IF(AH18="0",0,IF(AH18="1",0.5,IF(AH18="2",1,0)))*$F18*$F$12*20))</f>
        <v/>
      </c>
      <c r="AJ18" s="20">
        <f>IF(AH18="NE","~",IF(AH18="","",""))</f>
        <v/>
      </c>
      <c r="AK18" s="18" t="n"/>
      <c r="AL18" s="19">
        <f>IF(AK18="","",IF(AK18="NE","",IF(AK18="0",0,IF(AK18="1",0.5,IF(AK18="2",1,0)))*$F18*$F$12*20))</f>
        <v/>
      </c>
      <c r="AM18" s="20">
        <f>IF(AK18="NE","~",IF(AK18="","",""))</f>
        <v/>
      </c>
      <c r="AN18" s="18" t="n"/>
      <c r="AO18" s="19">
        <f>IF(AN18="","",IF(AN18="NE","",IF(AN18="0",0,IF(AN18="1",0.5,IF(AN18="2",1,0)))*$F18*$F$12*20))</f>
        <v/>
      </c>
      <c r="AP18" s="20">
        <f>IF(AN18="NE","~",IF(AN18="","",""))</f>
        <v/>
      </c>
      <c r="AQ18" s="18" t="n"/>
      <c r="AR18" s="19">
        <f>IF(AQ18="","",IF(AQ18="NE","",IF(AQ18="0",0,IF(AQ18="1",0.5,IF(AQ18="2",1,0)))*$F18*$F$12*20))</f>
        <v/>
      </c>
      <c r="AS18" s="20">
        <f>IF(AQ18="NE","~",IF(AQ18="","",""))</f>
        <v/>
      </c>
      <c r="AT18" s="18" t="n"/>
      <c r="AU18" s="19">
        <f>IF(AT18="","",IF(AT18="NE","",IF(AT18="0",0,IF(AT18="1",0.5,IF(AT18="2",1,0)))*$F18*$F$12*20))</f>
        <v/>
      </c>
      <c r="AV18" s="20">
        <f>IF(AT18="NE","~",IF(AT18="","",""))</f>
        <v/>
      </c>
      <c r="AW18" s="18" t="n"/>
      <c r="AX18" s="19">
        <f>IF(AW18="","",IF(AW18="NE","",IF(AW18="0",0,IF(AW18="1",0.5,IF(AW18="2",1,0)))*$F18*$F$12*20))</f>
        <v/>
      </c>
      <c r="AY18" s="20">
        <f>IF(AW18="NE","~",IF(AW18="","",""))</f>
        <v/>
      </c>
      <c r="AZ18" s="18" t="n"/>
      <c r="BA18" s="19">
        <f>IF(AZ18="","",IF(AZ18="NE","",IF(AZ18="0",0,IF(AZ18="1",0.5,IF(AZ18="2",1,0)))*$F18*$F$12*20))</f>
        <v/>
      </c>
      <c r="BB18" s="20">
        <f>IF(AZ18="NE","~",IF(AZ18="","",""))</f>
        <v/>
      </c>
      <c r="BC18" s="18" t="n"/>
      <c r="BD18" s="19">
        <f>IF(BC18="","",IF(BC18="NE","",IF(BC18="0",0,IF(BC18="1",0.5,IF(BC18="2",1,0)))*$F18*$F$12*20))</f>
        <v/>
      </c>
      <c r="BE18" s="20">
        <f>IF(BC18="NE","~",IF(BC18="","",""))</f>
        <v/>
      </c>
      <c r="BF18" s="18" t="n"/>
      <c r="BG18" s="19">
        <f>IF(BF18="","",IF(BF18="NE","",IF(BF18="0",0,IF(BF18="1",0.5,IF(BF18="2",1,0)))*$F18*$F$12*20))</f>
        <v/>
      </c>
      <c r="BH18" s="20">
        <f>IF(BF18="NE","~",IF(BF18="","",""))</f>
        <v/>
      </c>
      <c r="BI18" s="18" t="n"/>
      <c r="BJ18" s="19">
        <f>IF(BI18="","",IF(BI18="NE","",IF(BI18="0",0,IF(BI18="1",0.5,IF(BI18="2",1,0)))*$F18*$F$12*20))</f>
        <v/>
      </c>
      <c r="BK18" s="20">
        <f>IF(BI18="NE","~",IF(BI18="","",""))</f>
        <v/>
      </c>
      <c r="BL18" s="18" t="n"/>
      <c r="BM18" s="19">
        <f>IF(BL18="","",IF(BL18="NE","",IF(BL18="0",0,IF(BL18="1",0.5,IF(BL18="2",1,0)))*$F18*$F$12*20))</f>
        <v/>
      </c>
      <c r="BN18" s="20">
        <f>IF(BL18="NE","~",IF(BL18="","",""))</f>
        <v/>
      </c>
      <c r="BO18" s="18" t="n"/>
      <c r="BP18" s="19">
        <f>IF(BO18="","",IF(BO18="NE","",IF(BO18="0",0,IF(BO18="1",0.5,IF(BO18="2",1,0)))*$F18*$F$12*20))</f>
        <v/>
      </c>
      <c r="BQ18" s="20">
        <f>IF(BO18="NE","~",IF(BO18="","",""))</f>
        <v/>
      </c>
      <c r="BR18" s="18" t="n"/>
      <c r="BS18" s="19">
        <f>IF(BR18="","",IF(BR18="NE","",IF(BR18="0",0,IF(BR18="1",0.5,IF(BR18="2",1,0)))*$F18*$F$12*20))</f>
        <v/>
      </c>
      <c r="BT18" s="20">
        <f>IF(BR18="NE","~",IF(BR18="","",""))</f>
        <v/>
      </c>
      <c r="BU18" s="18" t="n"/>
      <c r="BV18" s="19">
        <f>IF(BU18="","",IF(BU18="NE","",IF(BU18="0",0,IF(BU18="1",0.5,IF(BU18="2",1,0)))*$F18*$F$12*20))</f>
        <v/>
      </c>
      <c r="BW18" s="20">
        <f>IF(BU18="NE","~",IF(BU18="","",""))</f>
        <v/>
      </c>
      <c r="BX18" s="18" t="n"/>
      <c r="BY18" s="19">
        <f>IF(BX18="","",IF(BX18="NE","",IF(BX18="0",0,IF(BX18="1",0.5,IF(BX18="2",1,0)))*$F18*$F$12*20))</f>
        <v/>
      </c>
      <c r="BZ18" s="20">
        <f>IF(BX18="NE","~",IF(BX18="","",""))</f>
        <v/>
      </c>
      <c r="CA18" s="18" t="n"/>
      <c r="CB18" s="19">
        <f>IF(CA18="","",IF(CA18="NE","",IF(CA18="0",0,IF(CA18="1",0.5,IF(CA18="2",1,0)))*$F18*$F$12*20))</f>
        <v/>
      </c>
      <c r="CC18" s="20">
        <f>IF(CA18="NE","~",IF(CA18="","",""))</f>
        <v/>
      </c>
      <c r="CD18" s="18" t="n"/>
      <c r="CE18" s="19">
        <f>IF(CD18="","",IF(CD18="NE","",IF(CD18="0",0,IF(CD18="1",0.5,IF(CD18="2",1,0)))*$F18*$F$12*20))</f>
        <v/>
      </c>
      <c r="CF18" s="20">
        <f>IF(CD18="NE","~",IF(CD18="","",""))</f>
        <v/>
      </c>
      <c r="CG18" s="18" t="n"/>
      <c r="CH18" s="19">
        <f>IF(CG18="","",IF(CG18="NE","",IF(CG18="0",0,IF(CG18="1",0.5,IF(CG18="2",1,0)))*$F18*$F$12*20))</f>
        <v/>
      </c>
      <c r="CI18" s="20">
        <f>IF(CG18="NE","~",IF(CG18="","",""))</f>
        <v/>
      </c>
      <c r="CJ18" s="18" t="n"/>
      <c r="CK18" s="19">
        <f>IF(CJ18="","",IF(CJ18="NE","",IF(CJ18="0",0,IF(CJ18="1",0.5,IF(CJ18="2",1,0)))*$F18*$F$12*20))</f>
        <v/>
      </c>
      <c r="CL18" s="20">
        <f>IF(CJ18="NE","~",IF(CJ18="","",""))</f>
        <v/>
      </c>
      <c r="CM18" s="18" t="n"/>
      <c r="CN18" s="19">
        <f>IF(CM18="","",IF(CM18="NE","",IF(CM18="0",0,IF(CM18="1",0.5,IF(CM18="2",1,0)))*$F18*$F$12*20))</f>
        <v/>
      </c>
      <c r="CO18" s="20">
        <f>IF(CM18="NE","~",IF(CM18="","",""))</f>
        <v/>
      </c>
      <c r="CP18" s="18" t="n"/>
      <c r="CQ18" s="19">
        <f>IF(CP18="","",IF(CP18="NE","",IF(CP18="0",0,IF(CP18="1",0.5,IF(CP18="2",1,0)))*$F18*$F$12*20))</f>
        <v/>
      </c>
      <c r="CR18" s="20">
        <f>IF(CP18="NE","~",IF(CP18="","",""))</f>
        <v/>
      </c>
    </row>
    <row r="19" ht="36" customHeight="1">
      <c r="A19" s="15" t="n">
        <v>14</v>
      </c>
      <c r="B19" s="15" t="inlineStr">
        <is>
          <t>P2</t>
        </is>
      </c>
      <c r="C19" s="15" t="inlineStr">
        <is>
          <t>Q2.4</t>
        </is>
      </c>
      <c r="D19" s="15" t="inlineStr">
        <is>
          <t>Critère</t>
        </is>
      </c>
      <c r="E19" s="16" t="inlineStr">
        <is>
          <t>Totaux correctement calculés (DR2).</t>
        </is>
      </c>
      <c r="F19" s="17" t="n">
        <v>0.1</v>
      </c>
      <c r="G19" s="18" t="n"/>
      <c r="H19" s="19">
        <f>IF(G19="","",IF(G19="NE","",IF(G19="0",0,IF(G19="1",0.5,IF(G19="2",1,0)))*$F19*$F$12*20))</f>
        <v/>
      </c>
      <c r="I19" s="20">
        <f>IF(G19="NE","~",IF(G19="","",""))</f>
        <v/>
      </c>
      <c r="J19" s="18" t="n"/>
      <c r="K19" s="19">
        <f>IF(J19="","",IF(J19="NE","",IF(J19="0",0,IF(J19="1",0.5,IF(J19="2",1,0)))*$F19*$F$12*20))</f>
        <v/>
      </c>
      <c r="L19" s="20">
        <f>IF(J19="NE","~",IF(J19="","",""))</f>
        <v/>
      </c>
      <c r="M19" s="18" t="n"/>
      <c r="N19" s="19">
        <f>IF(M19="","",IF(M19="NE","",IF(M19="0",0,IF(M19="1",0.5,IF(M19="2",1,0)))*$F19*$F$12*20))</f>
        <v/>
      </c>
      <c r="O19" s="20">
        <f>IF(M19="NE","~",IF(M19="","",""))</f>
        <v/>
      </c>
      <c r="P19" s="18" t="n"/>
      <c r="Q19" s="19">
        <f>IF(P19="","",IF(P19="NE","",IF(P19="0",0,IF(P19="1",0.5,IF(P19="2",1,0)))*$F19*$F$12*20))</f>
        <v/>
      </c>
      <c r="R19" s="20">
        <f>IF(P19="NE","~",IF(P19="","",""))</f>
        <v/>
      </c>
      <c r="S19" s="18" t="n"/>
      <c r="T19" s="19">
        <f>IF(S19="","",IF(S19="NE","",IF(S19="0",0,IF(S19="1",0.5,IF(S19="2",1,0)))*$F19*$F$12*20))</f>
        <v/>
      </c>
      <c r="U19" s="20">
        <f>IF(S19="NE","~",IF(S19="","",""))</f>
        <v/>
      </c>
      <c r="V19" s="18" t="n"/>
      <c r="W19" s="19">
        <f>IF(V19="","",IF(V19="NE","",IF(V19="0",0,IF(V19="1",0.5,IF(V19="2",1,0)))*$F19*$F$12*20))</f>
        <v/>
      </c>
      <c r="X19" s="20">
        <f>IF(V19="NE","~",IF(V19="","",""))</f>
        <v/>
      </c>
      <c r="Y19" s="18" t="n"/>
      <c r="Z19" s="19">
        <f>IF(Y19="","",IF(Y19="NE","",IF(Y19="0",0,IF(Y19="1",0.5,IF(Y19="2",1,0)))*$F19*$F$12*20))</f>
        <v/>
      </c>
      <c r="AA19" s="20">
        <f>IF(Y19="NE","~",IF(Y19="","",""))</f>
        <v/>
      </c>
      <c r="AB19" s="18" t="n"/>
      <c r="AC19" s="19">
        <f>IF(AB19="","",IF(AB19="NE","",IF(AB19="0",0,IF(AB19="1",0.5,IF(AB19="2",1,0)))*$F19*$F$12*20))</f>
        <v/>
      </c>
      <c r="AD19" s="20">
        <f>IF(AB19="NE","~",IF(AB19="","",""))</f>
        <v/>
      </c>
      <c r="AE19" s="18" t="n"/>
      <c r="AF19" s="19">
        <f>IF(AE19="","",IF(AE19="NE","",IF(AE19="0",0,IF(AE19="1",0.5,IF(AE19="2",1,0)))*$F19*$F$12*20))</f>
        <v/>
      </c>
      <c r="AG19" s="20">
        <f>IF(AE19="NE","~",IF(AE19="","",""))</f>
        <v/>
      </c>
      <c r="AH19" s="18" t="n"/>
      <c r="AI19" s="19">
        <f>IF(AH19="","",IF(AH19="NE","",IF(AH19="0",0,IF(AH19="1",0.5,IF(AH19="2",1,0)))*$F19*$F$12*20))</f>
        <v/>
      </c>
      <c r="AJ19" s="20">
        <f>IF(AH19="NE","~",IF(AH19="","",""))</f>
        <v/>
      </c>
      <c r="AK19" s="18" t="n"/>
      <c r="AL19" s="19">
        <f>IF(AK19="","",IF(AK19="NE","",IF(AK19="0",0,IF(AK19="1",0.5,IF(AK19="2",1,0)))*$F19*$F$12*20))</f>
        <v/>
      </c>
      <c r="AM19" s="20">
        <f>IF(AK19="NE","~",IF(AK19="","",""))</f>
        <v/>
      </c>
      <c r="AN19" s="18" t="n"/>
      <c r="AO19" s="19">
        <f>IF(AN19="","",IF(AN19="NE","",IF(AN19="0",0,IF(AN19="1",0.5,IF(AN19="2",1,0)))*$F19*$F$12*20))</f>
        <v/>
      </c>
      <c r="AP19" s="20">
        <f>IF(AN19="NE","~",IF(AN19="","",""))</f>
        <v/>
      </c>
      <c r="AQ19" s="18" t="n"/>
      <c r="AR19" s="19">
        <f>IF(AQ19="","",IF(AQ19="NE","",IF(AQ19="0",0,IF(AQ19="1",0.5,IF(AQ19="2",1,0)))*$F19*$F$12*20))</f>
        <v/>
      </c>
      <c r="AS19" s="20">
        <f>IF(AQ19="NE","~",IF(AQ19="","",""))</f>
        <v/>
      </c>
      <c r="AT19" s="18" t="n"/>
      <c r="AU19" s="19">
        <f>IF(AT19="","",IF(AT19="NE","",IF(AT19="0",0,IF(AT19="1",0.5,IF(AT19="2",1,0)))*$F19*$F$12*20))</f>
        <v/>
      </c>
      <c r="AV19" s="20">
        <f>IF(AT19="NE","~",IF(AT19="","",""))</f>
        <v/>
      </c>
      <c r="AW19" s="18" t="n"/>
      <c r="AX19" s="19">
        <f>IF(AW19="","",IF(AW19="NE","",IF(AW19="0",0,IF(AW19="1",0.5,IF(AW19="2",1,0)))*$F19*$F$12*20))</f>
        <v/>
      </c>
      <c r="AY19" s="20">
        <f>IF(AW19="NE","~",IF(AW19="","",""))</f>
        <v/>
      </c>
      <c r="AZ19" s="18" t="n"/>
      <c r="BA19" s="19">
        <f>IF(AZ19="","",IF(AZ19="NE","",IF(AZ19="0",0,IF(AZ19="1",0.5,IF(AZ19="2",1,0)))*$F19*$F$12*20))</f>
        <v/>
      </c>
      <c r="BB19" s="20">
        <f>IF(AZ19="NE","~",IF(AZ19="","",""))</f>
        <v/>
      </c>
      <c r="BC19" s="18" t="n"/>
      <c r="BD19" s="19">
        <f>IF(BC19="","",IF(BC19="NE","",IF(BC19="0",0,IF(BC19="1",0.5,IF(BC19="2",1,0)))*$F19*$F$12*20))</f>
        <v/>
      </c>
      <c r="BE19" s="20">
        <f>IF(BC19="NE","~",IF(BC19="","",""))</f>
        <v/>
      </c>
      <c r="BF19" s="18" t="n"/>
      <c r="BG19" s="19">
        <f>IF(BF19="","",IF(BF19="NE","",IF(BF19="0",0,IF(BF19="1",0.5,IF(BF19="2",1,0)))*$F19*$F$12*20))</f>
        <v/>
      </c>
      <c r="BH19" s="20">
        <f>IF(BF19="NE","~",IF(BF19="","",""))</f>
        <v/>
      </c>
      <c r="BI19" s="18" t="n"/>
      <c r="BJ19" s="19">
        <f>IF(BI19="","",IF(BI19="NE","",IF(BI19="0",0,IF(BI19="1",0.5,IF(BI19="2",1,0)))*$F19*$F$12*20))</f>
        <v/>
      </c>
      <c r="BK19" s="20">
        <f>IF(BI19="NE","~",IF(BI19="","",""))</f>
        <v/>
      </c>
      <c r="BL19" s="18" t="n"/>
      <c r="BM19" s="19">
        <f>IF(BL19="","",IF(BL19="NE","",IF(BL19="0",0,IF(BL19="1",0.5,IF(BL19="2",1,0)))*$F19*$F$12*20))</f>
        <v/>
      </c>
      <c r="BN19" s="20">
        <f>IF(BL19="NE","~",IF(BL19="","",""))</f>
        <v/>
      </c>
      <c r="BO19" s="18" t="n"/>
      <c r="BP19" s="19">
        <f>IF(BO19="","",IF(BO19="NE","",IF(BO19="0",0,IF(BO19="1",0.5,IF(BO19="2",1,0)))*$F19*$F$12*20))</f>
        <v/>
      </c>
      <c r="BQ19" s="20">
        <f>IF(BO19="NE","~",IF(BO19="","",""))</f>
        <v/>
      </c>
      <c r="BR19" s="18" t="n"/>
      <c r="BS19" s="19">
        <f>IF(BR19="","",IF(BR19="NE","",IF(BR19="0",0,IF(BR19="1",0.5,IF(BR19="2",1,0)))*$F19*$F$12*20))</f>
        <v/>
      </c>
      <c r="BT19" s="20">
        <f>IF(BR19="NE","~",IF(BR19="","",""))</f>
        <v/>
      </c>
      <c r="BU19" s="18" t="n"/>
      <c r="BV19" s="19">
        <f>IF(BU19="","",IF(BU19="NE","",IF(BU19="0",0,IF(BU19="1",0.5,IF(BU19="2",1,0)))*$F19*$F$12*20))</f>
        <v/>
      </c>
      <c r="BW19" s="20">
        <f>IF(BU19="NE","~",IF(BU19="","",""))</f>
        <v/>
      </c>
      <c r="BX19" s="18" t="n"/>
      <c r="BY19" s="19">
        <f>IF(BX19="","",IF(BX19="NE","",IF(BX19="0",0,IF(BX19="1",0.5,IF(BX19="2",1,0)))*$F19*$F$12*20))</f>
        <v/>
      </c>
      <c r="BZ19" s="20">
        <f>IF(BX19="NE","~",IF(BX19="","",""))</f>
        <v/>
      </c>
      <c r="CA19" s="18" t="n"/>
      <c r="CB19" s="19">
        <f>IF(CA19="","",IF(CA19="NE","",IF(CA19="0",0,IF(CA19="1",0.5,IF(CA19="2",1,0)))*$F19*$F$12*20))</f>
        <v/>
      </c>
      <c r="CC19" s="20">
        <f>IF(CA19="NE","~",IF(CA19="","",""))</f>
        <v/>
      </c>
      <c r="CD19" s="18" t="n"/>
      <c r="CE19" s="19">
        <f>IF(CD19="","",IF(CD19="NE","",IF(CD19="0",0,IF(CD19="1",0.5,IF(CD19="2",1,0)))*$F19*$F$12*20))</f>
        <v/>
      </c>
      <c r="CF19" s="20">
        <f>IF(CD19="NE","~",IF(CD19="","",""))</f>
        <v/>
      </c>
      <c r="CG19" s="18" t="n"/>
      <c r="CH19" s="19">
        <f>IF(CG19="","",IF(CG19="NE","",IF(CG19="0",0,IF(CG19="1",0.5,IF(CG19="2",1,0)))*$F19*$F$12*20))</f>
        <v/>
      </c>
      <c r="CI19" s="20">
        <f>IF(CG19="NE","~",IF(CG19="","",""))</f>
        <v/>
      </c>
      <c r="CJ19" s="18" t="n"/>
      <c r="CK19" s="19">
        <f>IF(CJ19="","",IF(CJ19="NE","",IF(CJ19="0",0,IF(CJ19="1",0.5,IF(CJ19="2",1,0)))*$F19*$F$12*20))</f>
        <v/>
      </c>
      <c r="CL19" s="20">
        <f>IF(CJ19="NE","~",IF(CJ19="","",""))</f>
        <v/>
      </c>
      <c r="CM19" s="18" t="n"/>
      <c r="CN19" s="19">
        <f>IF(CM19="","",IF(CM19="NE","",IF(CM19="0",0,IF(CM19="1",0.5,IF(CM19="2",1,0)))*$F19*$F$12*20))</f>
        <v/>
      </c>
      <c r="CO19" s="20">
        <f>IF(CM19="NE","~",IF(CM19="","",""))</f>
        <v/>
      </c>
      <c r="CP19" s="18" t="n"/>
      <c r="CQ19" s="19">
        <f>IF(CP19="","",IF(CP19="NE","",IF(CP19="0",0,IF(CP19="1",0.5,IF(CP19="2",1,0)))*$F19*$F$12*20))</f>
        <v/>
      </c>
      <c r="CR19" s="20">
        <f>IF(CP19="NE","~",IF(CP19="","",""))</f>
        <v/>
      </c>
    </row>
    <row r="20" ht="36" customHeight="1">
      <c r="A20" s="15" t="n">
        <v>15</v>
      </c>
      <c r="B20" s="15" t="inlineStr">
        <is>
          <t>P2</t>
        </is>
      </c>
      <c r="C20" s="15" t="inlineStr">
        <is>
          <t>Q2.4</t>
        </is>
      </c>
      <c r="D20" s="15" t="inlineStr">
        <is>
          <t>Critère</t>
        </is>
      </c>
      <c r="E20" s="16" t="inlineStr">
        <is>
          <t>Conclusion DD : économique (biogaz, valorisation combustible), environnemental (réduction GES), sociétal (nuisances olfactives).</t>
        </is>
      </c>
      <c r="F20" s="17" t="n">
        <v>0.3</v>
      </c>
      <c r="G20" s="18" t="n"/>
      <c r="H20" s="19">
        <f>IF(G20="","",IF(G20="NE","",IF(G20="0",0,IF(G20="1",0.5,IF(G20="2",1,0)))*$F20*$F$12*20))</f>
        <v/>
      </c>
      <c r="I20" s="20">
        <f>IF(G20="NE","~",IF(G20="","",""))</f>
        <v/>
      </c>
      <c r="J20" s="18" t="n"/>
      <c r="K20" s="19">
        <f>IF(J20="","",IF(J20="NE","",IF(J20="0",0,IF(J20="1",0.5,IF(J20="2",1,0)))*$F20*$F$12*20))</f>
        <v/>
      </c>
      <c r="L20" s="20">
        <f>IF(J20="NE","~",IF(J20="","",""))</f>
        <v/>
      </c>
      <c r="M20" s="18" t="n"/>
      <c r="N20" s="19">
        <f>IF(M20="","",IF(M20="NE","",IF(M20="0",0,IF(M20="1",0.5,IF(M20="2",1,0)))*$F20*$F$12*20))</f>
        <v/>
      </c>
      <c r="O20" s="20">
        <f>IF(M20="NE","~",IF(M20="","",""))</f>
        <v/>
      </c>
      <c r="P20" s="18" t="n"/>
      <c r="Q20" s="19">
        <f>IF(P20="","",IF(P20="NE","",IF(P20="0",0,IF(P20="1",0.5,IF(P20="2",1,0)))*$F20*$F$12*20))</f>
        <v/>
      </c>
      <c r="R20" s="20">
        <f>IF(P20="NE","~",IF(P20="","",""))</f>
        <v/>
      </c>
      <c r="S20" s="18" t="n"/>
      <c r="T20" s="19">
        <f>IF(S20="","",IF(S20="NE","",IF(S20="0",0,IF(S20="1",0.5,IF(S20="2",1,0)))*$F20*$F$12*20))</f>
        <v/>
      </c>
      <c r="U20" s="20">
        <f>IF(S20="NE","~",IF(S20="","",""))</f>
        <v/>
      </c>
      <c r="V20" s="18" t="n"/>
      <c r="W20" s="19">
        <f>IF(V20="","",IF(V20="NE","",IF(V20="0",0,IF(V20="1",0.5,IF(V20="2",1,0)))*$F20*$F$12*20))</f>
        <v/>
      </c>
      <c r="X20" s="20">
        <f>IF(V20="NE","~",IF(V20="","",""))</f>
        <v/>
      </c>
      <c r="Y20" s="18" t="n"/>
      <c r="Z20" s="19">
        <f>IF(Y20="","",IF(Y20="NE","",IF(Y20="0",0,IF(Y20="1",0.5,IF(Y20="2",1,0)))*$F20*$F$12*20))</f>
        <v/>
      </c>
      <c r="AA20" s="20">
        <f>IF(Y20="NE","~",IF(Y20="","",""))</f>
        <v/>
      </c>
      <c r="AB20" s="18" t="n"/>
      <c r="AC20" s="19">
        <f>IF(AB20="","",IF(AB20="NE","",IF(AB20="0",0,IF(AB20="1",0.5,IF(AB20="2",1,0)))*$F20*$F$12*20))</f>
        <v/>
      </c>
      <c r="AD20" s="20">
        <f>IF(AB20="NE","~",IF(AB20="","",""))</f>
        <v/>
      </c>
      <c r="AE20" s="18" t="n"/>
      <c r="AF20" s="19">
        <f>IF(AE20="","",IF(AE20="NE","",IF(AE20="0",0,IF(AE20="1",0.5,IF(AE20="2",1,0)))*$F20*$F$12*20))</f>
        <v/>
      </c>
      <c r="AG20" s="20">
        <f>IF(AE20="NE","~",IF(AE20="","",""))</f>
        <v/>
      </c>
      <c r="AH20" s="18" t="n"/>
      <c r="AI20" s="19">
        <f>IF(AH20="","",IF(AH20="NE","",IF(AH20="0",0,IF(AH20="1",0.5,IF(AH20="2",1,0)))*$F20*$F$12*20))</f>
        <v/>
      </c>
      <c r="AJ20" s="20">
        <f>IF(AH20="NE","~",IF(AH20="","",""))</f>
        <v/>
      </c>
      <c r="AK20" s="18" t="n"/>
      <c r="AL20" s="19">
        <f>IF(AK20="","",IF(AK20="NE","",IF(AK20="0",0,IF(AK20="1",0.5,IF(AK20="2",1,0)))*$F20*$F$12*20))</f>
        <v/>
      </c>
      <c r="AM20" s="20">
        <f>IF(AK20="NE","~",IF(AK20="","",""))</f>
        <v/>
      </c>
      <c r="AN20" s="18" t="n"/>
      <c r="AO20" s="19">
        <f>IF(AN20="","",IF(AN20="NE","",IF(AN20="0",0,IF(AN20="1",0.5,IF(AN20="2",1,0)))*$F20*$F$12*20))</f>
        <v/>
      </c>
      <c r="AP20" s="20">
        <f>IF(AN20="NE","~",IF(AN20="","",""))</f>
        <v/>
      </c>
      <c r="AQ20" s="18" t="n"/>
      <c r="AR20" s="19">
        <f>IF(AQ20="","",IF(AQ20="NE","",IF(AQ20="0",0,IF(AQ20="1",0.5,IF(AQ20="2",1,0)))*$F20*$F$12*20))</f>
        <v/>
      </c>
      <c r="AS20" s="20">
        <f>IF(AQ20="NE","~",IF(AQ20="","",""))</f>
        <v/>
      </c>
      <c r="AT20" s="18" t="n"/>
      <c r="AU20" s="19">
        <f>IF(AT20="","",IF(AT20="NE","",IF(AT20="0",0,IF(AT20="1",0.5,IF(AT20="2",1,0)))*$F20*$F$12*20))</f>
        <v/>
      </c>
      <c r="AV20" s="20">
        <f>IF(AT20="NE","~",IF(AT20="","",""))</f>
        <v/>
      </c>
      <c r="AW20" s="18" t="n"/>
      <c r="AX20" s="19">
        <f>IF(AW20="","",IF(AW20="NE","",IF(AW20="0",0,IF(AW20="1",0.5,IF(AW20="2",1,0)))*$F20*$F$12*20))</f>
        <v/>
      </c>
      <c r="AY20" s="20">
        <f>IF(AW20="NE","~",IF(AW20="","",""))</f>
        <v/>
      </c>
      <c r="AZ20" s="18" t="n"/>
      <c r="BA20" s="19">
        <f>IF(AZ20="","",IF(AZ20="NE","",IF(AZ20="0",0,IF(AZ20="1",0.5,IF(AZ20="2",1,0)))*$F20*$F$12*20))</f>
        <v/>
      </c>
      <c r="BB20" s="20">
        <f>IF(AZ20="NE","~",IF(AZ20="","",""))</f>
        <v/>
      </c>
      <c r="BC20" s="18" t="n"/>
      <c r="BD20" s="19">
        <f>IF(BC20="","",IF(BC20="NE","",IF(BC20="0",0,IF(BC20="1",0.5,IF(BC20="2",1,0)))*$F20*$F$12*20))</f>
        <v/>
      </c>
      <c r="BE20" s="20">
        <f>IF(BC20="NE","~",IF(BC20="","",""))</f>
        <v/>
      </c>
      <c r="BF20" s="18" t="n"/>
      <c r="BG20" s="19">
        <f>IF(BF20="","",IF(BF20="NE","",IF(BF20="0",0,IF(BF20="1",0.5,IF(BF20="2",1,0)))*$F20*$F$12*20))</f>
        <v/>
      </c>
      <c r="BH20" s="20">
        <f>IF(BF20="NE","~",IF(BF20="","",""))</f>
        <v/>
      </c>
      <c r="BI20" s="18" t="n"/>
      <c r="BJ20" s="19">
        <f>IF(BI20="","",IF(BI20="NE","",IF(BI20="0",0,IF(BI20="1",0.5,IF(BI20="2",1,0)))*$F20*$F$12*20))</f>
        <v/>
      </c>
      <c r="BK20" s="20">
        <f>IF(BI20="NE","~",IF(BI20="","",""))</f>
        <v/>
      </c>
      <c r="BL20" s="18" t="n"/>
      <c r="BM20" s="19">
        <f>IF(BL20="","",IF(BL20="NE","",IF(BL20="0",0,IF(BL20="1",0.5,IF(BL20="2",1,0)))*$F20*$F$12*20))</f>
        <v/>
      </c>
      <c r="BN20" s="20">
        <f>IF(BL20="NE","~",IF(BL20="","",""))</f>
        <v/>
      </c>
      <c r="BO20" s="18" t="n"/>
      <c r="BP20" s="19">
        <f>IF(BO20="","",IF(BO20="NE","",IF(BO20="0",0,IF(BO20="1",0.5,IF(BO20="2",1,0)))*$F20*$F$12*20))</f>
        <v/>
      </c>
      <c r="BQ20" s="20">
        <f>IF(BO20="NE","~",IF(BO20="","",""))</f>
        <v/>
      </c>
      <c r="BR20" s="18" t="n"/>
      <c r="BS20" s="19">
        <f>IF(BR20="","",IF(BR20="NE","",IF(BR20="0",0,IF(BR20="1",0.5,IF(BR20="2",1,0)))*$F20*$F$12*20))</f>
        <v/>
      </c>
      <c r="BT20" s="20">
        <f>IF(BR20="NE","~",IF(BR20="","",""))</f>
        <v/>
      </c>
      <c r="BU20" s="18" t="n"/>
      <c r="BV20" s="19">
        <f>IF(BU20="","",IF(BU20="NE","",IF(BU20="0",0,IF(BU20="1",0.5,IF(BU20="2",1,0)))*$F20*$F$12*20))</f>
        <v/>
      </c>
      <c r="BW20" s="20">
        <f>IF(BU20="NE","~",IF(BU20="","",""))</f>
        <v/>
      </c>
      <c r="BX20" s="18" t="n"/>
      <c r="BY20" s="19">
        <f>IF(BX20="","",IF(BX20="NE","",IF(BX20="0",0,IF(BX20="1",0.5,IF(BX20="2",1,0)))*$F20*$F$12*20))</f>
        <v/>
      </c>
      <c r="BZ20" s="20">
        <f>IF(BX20="NE","~",IF(BX20="","",""))</f>
        <v/>
      </c>
      <c r="CA20" s="18" t="n"/>
      <c r="CB20" s="19">
        <f>IF(CA20="","",IF(CA20="NE","",IF(CA20="0",0,IF(CA20="1",0.5,IF(CA20="2",1,0)))*$F20*$F$12*20))</f>
        <v/>
      </c>
      <c r="CC20" s="20">
        <f>IF(CA20="NE","~",IF(CA20="","",""))</f>
        <v/>
      </c>
      <c r="CD20" s="18" t="n"/>
      <c r="CE20" s="19">
        <f>IF(CD20="","",IF(CD20="NE","",IF(CD20="0",0,IF(CD20="1",0.5,IF(CD20="2",1,0)))*$F20*$F$12*20))</f>
        <v/>
      </c>
      <c r="CF20" s="20">
        <f>IF(CD20="NE","~",IF(CD20="","",""))</f>
        <v/>
      </c>
      <c r="CG20" s="18" t="n"/>
      <c r="CH20" s="19">
        <f>IF(CG20="","",IF(CG20="NE","",IF(CG20="0",0,IF(CG20="1",0.5,IF(CG20="2",1,0)))*$F20*$F$12*20))</f>
        <v/>
      </c>
      <c r="CI20" s="20">
        <f>IF(CG20="NE","~",IF(CG20="","",""))</f>
        <v/>
      </c>
      <c r="CJ20" s="18" t="n"/>
      <c r="CK20" s="19">
        <f>IF(CJ20="","",IF(CJ20="NE","",IF(CJ20="0",0,IF(CJ20="1",0.5,IF(CJ20="2",1,0)))*$F20*$F$12*20))</f>
        <v/>
      </c>
      <c r="CL20" s="20">
        <f>IF(CJ20="NE","~",IF(CJ20="","",""))</f>
        <v/>
      </c>
      <c r="CM20" s="18" t="n"/>
      <c r="CN20" s="19">
        <f>IF(CM20="","",IF(CM20="NE","",IF(CM20="0",0,IF(CM20="1",0.5,IF(CM20="2",1,0)))*$F20*$F$12*20))</f>
        <v/>
      </c>
      <c r="CO20" s="20">
        <f>IF(CM20="NE","~",IF(CM20="","",""))</f>
        <v/>
      </c>
      <c r="CP20" s="18" t="n"/>
      <c r="CQ20" s="19">
        <f>IF(CP20="","",IF(CP20="NE","",IF(CP20="0",0,IF(CP20="1",0.5,IF(CP20="2",1,0)))*$F20*$F$12*20))</f>
        <v/>
      </c>
      <c r="CR20" s="20">
        <f>IF(CP20="NE","~",IF(CP20="","",""))</f>
        <v/>
      </c>
    </row>
    <row r="21" ht="22" customHeight="1">
      <c r="A21" s="10" t="inlineStr"/>
      <c r="B21" s="11" t="inlineStr">
        <is>
          <t>P3</t>
        </is>
      </c>
      <c r="C21" s="10" t="inlineStr"/>
      <c r="D21" s="12" t="inlineStr">
        <is>
          <t>Partie</t>
        </is>
      </c>
      <c r="E21" s="13" t="inlineStr">
        <is>
          <t>Comment la maîtrise de l'information permet-elle de garantir la sécurité des personnes ?</t>
        </is>
      </c>
      <c r="F21" s="14" t="n">
        <v>0.1</v>
      </c>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0" t="n"/>
      <c r="BR21" s="10" t="n"/>
      <c r="BS21" s="10" t="n"/>
      <c r="BT21" s="10" t="n"/>
      <c r="BU21" s="10" t="n"/>
      <c r="BV21" s="10" t="n"/>
      <c r="BW21" s="10" t="n"/>
      <c r="BX21" s="10" t="n"/>
      <c r="BY21" s="10" t="n"/>
      <c r="BZ21" s="10" t="n"/>
      <c r="CA21" s="10" t="n"/>
      <c r="CB21" s="10" t="n"/>
      <c r="CC21" s="10" t="n"/>
      <c r="CD21" s="10" t="n"/>
      <c r="CE21" s="10" t="n"/>
      <c r="CF21" s="10" t="n"/>
      <c r="CG21" s="10" t="n"/>
      <c r="CH21" s="10" t="n"/>
      <c r="CI21" s="10" t="n"/>
      <c r="CJ21" s="10" t="n"/>
      <c r="CK21" s="10" t="n"/>
      <c r="CL21" s="10" t="n"/>
      <c r="CM21" s="10" t="n"/>
      <c r="CN21" s="10" t="n"/>
      <c r="CO21" s="10" t="n"/>
      <c r="CP21" s="10" t="n"/>
      <c r="CQ21" s="10" t="n"/>
      <c r="CR21" s="10" t="n"/>
    </row>
    <row r="22" ht="36" customHeight="1">
      <c r="A22" s="15" t="n">
        <v>16</v>
      </c>
      <c r="B22" s="15" t="inlineStr">
        <is>
          <t>P3</t>
        </is>
      </c>
      <c r="C22" s="15" t="inlineStr">
        <is>
          <t>Q3.1</t>
        </is>
      </c>
      <c r="D22" s="15" t="inlineStr">
        <is>
          <t>Critère</t>
        </is>
      </c>
      <c r="E22" s="16" t="inlineStr">
        <is>
          <t>Masque 255.255.0.0 → (256 × 256) − 2 = 65 534 adresses possibles.</t>
        </is>
      </c>
      <c r="F22" s="17" t="n">
        <v>0.25</v>
      </c>
      <c r="G22" s="18" t="n"/>
      <c r="H22" s="19">
        <f>IF(G22="","",IF(G22="NE","",IF(G22="0",0,IF(G22="1",0.5,IF(G22="2",1,0)))*$F22*$F$21*20))</f>
        <v/>
      </c>
      <c r="I22" s="20">
        <f>IF(G22="NE","~",IF(G22="","",""))</f>
        <v/>
      </c>
      <c r="J22" s="18" t="n"/>
      <c r="K22" s="19">
        <f>IF(J22="","",IF(J22="NE","",IF(J22="0",0,IF(J22="1",0.5,IF(J22="2",1,0)))*$F22*$F$21*20))</f>
        <v/>
      </c>
      <c r="L22" s="20">
        <f>IF(J22="NE","~",IF(J22="","",""))</f>
        <v/>
      </c>
      <c r="M22" s="18" t="n"/>
      <c r="N22" s="19">
        <f>IF(M22="","",IF(M22="NE","",IF(M22="0",0,IF(M22="1",0.5,IF(M22="2",1,0)))*$F22*$F$21*20))</f>
        <v/>
      </c>
      <c r="O22" s="20">
        <f>IF(M22="NE","~",IF(M22="","",""))</f>
        <v/>
      </c>
      <c r="P22" s="18" t="n"/>
      <c r="Q22" s="19">
        <f>IF(P22="","",IF(P22="NE","",IF(P22="0",0,IF(P22="1",0.5,IF(P22="2",1,0)))*$F22*$F$21*20))</f>
        <v/>
      </c>
      <c r="R22" s="20">
        <f>IF(P22="NE","~",IF(P22="","",""))</f>
        <v/>
      </c>
      <c r="S22" s="18" t="n"/>
      <c r="T22" s="19">
        <f>IF(S22="","",IF(S22="NE","",IF(S22="0",0,IF(S22="1",0.5,IF(S22="2",1,0)))*$F22*$F$21*20))</f>
        <v/>
      </c>
      <c r="U22" s="20">
        <f>IF(S22="NE","~",IF(S22="","",""))</f>
        <v/>
      </c>
      <c r="V22" s="18" t="n"/>
      <c r="W22" s="19">
        <f>IF(V22="","",IF(V22="NE","",IF(V22="0",0,IF(V22="1",0.5,IF(V22="2",1,0)))*$F22*$F$21*20))</f>
        <v/>
      </c>
      <c r="X22" s="20">
        <f>IF(V22="NE","~",IF(V22="","",""))</f>
        <v/>
      </c>
      <c r="Y22" s="18" t="n"/>
      <c r="Z22" s="19">
        <f>IF(Y22="","",IF(Y22="NE","",IF(Y22="0",0,IF(Y22="1",0.5,IF(Y22="2",1,0)))*$F22*$F$21*20))</f>
        <v/>
      </c>
      <c r="AA22" s="20">
        <f>IF(Y22="NE","~",IF(Y22="","",""))</f>
        <v/>
      </c>
      <c r="AB22" s="18" t="n"/>
      <c r="AC22" s="19">
        <f>IF(AB22="","",IF(AB22="NE","",IF(AB22="0",0,IF(AB22="1",0.5,IF(AB22="2",1,0)))*$F22*$F$21*20))</f>
        <v/>
      </c>
      <c r="AD22" s="20">
        <f>IF(AB22="NE","~",IF(AB22="","",""))</f>
        <v/>
      </c>
      <c r="AE22" s="18" t="n"/>
      <c r="AF22" s="19">
        <f>IF(AE22="","",IF(AE22="NE","",IF(AE22="0",0,IF(AE22="1",0.5,IF(AE22="2",1,0)))*$F22*$F$21*20))</f>
        <v/>
      </c>
      <c r="AG22" s="20">
        <f>IF(AE22="NE","~",IF(AE22="","",""))</f>
        <v/>
      </c>
      <c r="AH22" s="18" t="n"/>
      <c r="AI22" s="19">
        <f>IF(AH22="","",IF(AH22="NE","",IF(AH22="0",0,IF(AH22="1",0.5,IF(AH22="2",1,0)))*$F22*$F$21*20))</f>
        <v/>
      </c>
      <c r="AJ22" s="20">
        <f>IF(AH22="NE","~",IF(AH22="","",""))</f>
        <v/>
      </c>
      <c r="AK22" s="18" t="n"/>
      <c r="AL22" s="19">
        <f>IF(AK22="","",IF(AK22="NE","",IF(AK22="0",0,IF(AK22="1",0.5,IF(AK22="2",1,0)))*$F22*$F$21*20))</f>
        <v/>
      </c>
      <c r="AM22" s="20">
        <f>IF(AK22="NE","~",IF(AK22="","",""))</f>
        <v/>
      </c>
      <c r="AN22" s="18" t="n"/>
      <c r="AO22" s="19">
        <f>IF(AN22="","",IF(AN22="NE","",IF(AN22="0",0,IF(AN22="1",0.5,IF(AN22="2",1,0)))*$F22*$F$21*20))</f>
        <v/>
      </c>
      <c r="AP22" s="20">
        <f>IF(AN22="NE","~",IF(AN22="","",""))</f>
        <v/>
      </c>
      <c r="AQ22" s="18" t="n"/>
      <c r="AR22" s="19">
        <f>IF(AQ22="","",IF(AQ22="NE","",IF(AQ22="0",0,IF(AQ22="1",0.5,IF(AQ22="2",1,0)))*$F22*$F$21*20))</f>
        <v/>
      </c>
      <c r="AS22" s="20">
        <f>IF(AQ22="NE","~",IF(AQ22="","",""))</f>
        <v/>
      </c>
      <c r="AT22" s="18" t="n"/>
      <c r="AU22" s="19">
        <f>IF(AT22="","",IF(AT22="NE","",IF(AT22="0",0,IF(AT22="1",0.5,IF(AT22="2",1,0)))*$F22*$F$21*20))</f>
        <v/>
      </c>
      <c r="AV22" s="20">
        <f>IF(AT22="NE","~",IF(AT22="","",""))</f>
        <v/>
      </c>
      <c r="AW22" s="18" t="n"/>
      <c r="AX22" s="19">
        <f>IF(AW22="","",IF(AW22="NE","",IF(AW22="0",0,IF(AW22="1",0.5,IF(AW22="2",1,0)))*$F22*$F$21*20))</f>
        <v/>
      </c>
      <c r="AY22" s="20">
        <f>IF(AW22="NE","~",IF(AW22="","",""))</f>
        <v/>
      </c>
      <c r="AZ22" s="18" t="n"/>
      <c r="BA22" s="19">
        <f>IF(AZ22="","",IF(AZ22="NE","",IF(AZ22="0",0,IF(AZ22="1",0.5,IF(AZ22="2",1,0)))*$F22*$F$21*20))</f>
        <v/>
      </c>
      <c r="BB22" s="20">
        <f>IF(AZ22="NE","~",IF(AZ22="","",""))</f>
        <v/>
      </c>
      <c r="BC22" s="18" t="n"/>
      <c r="BD22" s="19">
        <f>IF(BC22="","",IF(BC22="NE","",IF(BC22="0",0,IF(BC22="1",0.5,IF(BC22="2",1,0)))*$F22*$F$21*20))</f>
        <v/>
      </c>
      <c r="BE22" s="20">
        <f>IF(BC22="NE","~",IF(BC22="","",""))</f>
        <v/>
      </c>
      <c r="BF22" s="18" t="n"/>
      <c r="BG22" s="19">
        <f>IF(BF22="","",IF(BF22="NE","",IF(BF22="0",0,IF(BF22="1",0.5,IF(BF22="2",1,0)))*$F22*$F$21*20))</f>
        <v/>
      </c>
      <c r="BH22" s="20">
        <f>IF(BF22="NE","~",IF(BF22="","",""))</f>
        <v/>
      </c>
      <c r="BI22" s="18" t="n"/>
      <c r="BJ22" s="19">
        <f>IF(BI22="","",IF(BI22="NE","",IF(BI22="0",0,IF(BI22="1",0.5,IF(BI22="2",1,0)))*$F22*$F$21*20))</f>
        <v/>
      </c>
      <c r="BK22" s="20">
        <f>IF(BI22="NE","~",IF(BI22="","",""))</f>
        <v/>
      </c>
      <c r="BL22" s="18" t="n"/>
      <c r="BM22" s="19">
        <f>IF(BL22="","",IF(BL22="NE","",IF(BL22="0",0,IF(BL22="1",0.5,IF(BL22="2",1,0)))*$F22*$F$21*20))</f>
        <v/>
      </c>
      <c r="BN22" s="20">
        <f>IF(BL22="NE","~",IF(BL22="","",""))</f>
        <v/>
      </c>
      <c r="BO22" s="18" t="n"/>
      <c r="BP22" s="19">
        <f>IF(BO22="","",IF(BO22="NE","",IF(BO22="0",0,IF(BO22="1",0.5,IF(BO22="2",1,0)))*$F22*$F$21*20))</f>
        <v/>
      </c>
      <c r="BQ22" s="20">
        <f>IF(BO22="NE","~",IF(BO22="","",""))</f>
        <v/>
      </c>
      <c r="BR22" s="18" t="n"/>
      <c r="BS22" s="19">
        <f>IF(BR22="","",IF(BR22="NE","",IF(BR22="0",0,IF(BR22="1",0.5,IF(BR22="2",1,0)))*$F22*$F$21*20))</f>
        <v/>
      </c>
      <c r="BT22" s="20">
        <f>IF(BR22="NE","~",IF(BR22="","",""))</f>
        <v/>
      </c>
      <c r="BU22" s="18" t="n"/>
      <c r="BV22" s="19">
        <f>IF(BU22="","",IF(BU22="NE","",IF(BU22="0",0,IF(BU22="1",0.5,IF(BU22="2",1,0)))*$F22*$F$21*20))</f>
        <v/>
      </c>
      <c r="BW22" s="20">
        <f>IF(BU22="NE","~",IF(BU22="","",""))</f>
        <v/>
      </c>
      <c r="BX22" s="18" t="n"/>
      <c r="BY22" s="19">
        <f>IF(BX22="","",IF(BX22="NE","",IF(BX22="0",0,IF(BX22="1",0.5,IF(BX22="2",1,0)))*$F22*$F$21*20))</f>
        <v/>
      </c>
      <c r="BZ22" s="20">
        <f>IF(BX22="NE","~",IF(BX22="","",""))</f>
        <v/>
      </c>
      <c r="CA22" s="18" t="n"/>
      <c r="CB22" s="19">
        <f>IF(CA22="","",IF(CA22="NE","",IF(CA22="0",0,IF(CA22="1",0.5,IF(CA22="2",1,0)))*$F22*$F$21*20))</f>
        <v/>
      </c>
      <c r="CC22" s="20">
        <f>IF(CA22="NE","~",IF(CA22="","",""))</f>
        <v/>
      </c>
      <c r="CD22" s="18" t="n"/>
      <c r="CE22" s="19">
        <f>IF(CD22="","",IF(CD22="NE","",IF(CD22="0",0,IF(CD22="1",0.5,IF(CD22="2",1,0)))*$F22*$F$21*20))</f>
        <v/>
      </c>
      <c r="CF22" s="20">
        <f>IF(CD22="NE","~",IF(CD22="","",""))</f>
        <v/>
      </c>
      <c r="CG22" s="18" t="n"/>
      <c r="CH22" s="19">
        <f>IF(CG22="","",IF(CG22="NE","",IF(CG22="0",0,IF(CG22="1",0.5,IF(CG22="2",1,0)))*$F22*$F$21*20))</f>
        <v/>
      </c>
      <c r="CI22" s="20">
        <f>IF(CG22="NE","~",IF(CG22="","",""))</f>
        <v/>
      </c>
      <c r="CJ22" s="18" t="n"/>
      <c r="CK22" s="19">
        <f>IF(CJ22="","",IF(CJ22="NE","",IF(CJ22="0",0,IF(CJ22="1",0.5,IF(CJ22="2",1,0)))*$F22*$F$21*20))</f>
        <v/>
      </c>
      <c r="CL22" s="20">
        <f>IF(CJ22="NE","~",IF(CJ22="","",""))</f>
        <v/>
      </c>
      <c r="CM22" s="18" t="n"/>
      <c r="CN22" s="19">
        <f>IF(CM22="","",IF(CM22="NE","",IF(CM22="0",0,IF(CM22="1",0.5,IF(CM22="2",1,0)))*$F22*$F$21*20))</f>
        <v/>
      </c>
      <c r="CO22" s="20">
        <f>IF(CM22="NE","~",IF(CM22="","",""))</f>
        <v/>
      </c>
      <c r="CP22" s="18" t="n"/>
      <c r="CQ22" s="19">
        <f>IF(CP22="","",IF(CP22="NE","",IF(CP22="0",0,IF(CP22="1",0.5,IF(CP22="2",1,0)))*$F22*$F$21*20))</f>
        <v/>
      </c>
      <c r="CR22" s="20">
        <f>IF(CP22="NE","~",IF(CP22="","",""))</f>
        <v/>
      </c>
    </row>
    <row r="23" ht="36" customHeight="1">
      <c r="A23" s="15" t="n">
        <v>17</v>
      </c>
      <c r="B23" s="15" t="inlineStr">
        <is>
          <t>P3</t>
        </is>
      </c>
      <c r="C23" s="15" t="inlineStr">
        <is>
          <t>Q3.1</t>
        </is>
      </c>
      <c r="D23" s="15" t="inlineStr">
        <is>
          <t>Critère</t>
        </is>
      </c>
      <c r="E23" s="16" t="inlineStr">
        <is>
          <t>Conversion binaire 10101100.00010000.00110010.11001000 → 172.16.50.200.</t>
        </is>
      </c>
      <c r="F23" s="17" t="n">
        <v>0.25</v>
      </c>
      <c r="G23" s="18" t="n"/>
      <c r="H23" s="19">
        <f>IF(G23="","",IF(G23="NE","",IF(G23="0",0,IF(G23="1",0.5,IF(G23="2",1,0)))*$F23*$F$21*20))</f>
        <v/>
      </c>
      <c r="I23" s="20">
        <f>IF(G23="NE","~",IF(G23="","",""))</f>
        <v/>
      </c>
      <c r="J23" s="18" t="n"/>
      <c r="K23" s="19">
        <f>IF(J23="","",IF(J23="NE","",IF(J23="0",0,IF(J23="1",0.5,IF(J23="2",1,0)))*$F23*$F$21*20))</f>
        <v/>
      </c>
      <c r="L23" s="20">
        <f>IF(J23="NE","~",IF(J23="","",""))</f>
        <v/>
      </c>
      <c r="M23" s="18" t="n"/>
      <c r="N23" s="19">
        <f>IF(M23="","",IF(M23="NE","",IF(M23="0",0,IF(M23="1",0.5,IF(M23="2",1,0)))*$F23*$F$21*20))</f>
        <v/>
      </c>
      <c r="O23" s="20">
        <f>IF(M23="NE","~",IF(M23="","",""))</f>
        <v/>
      </c>
      <c r="P23" s="18" t="n"/>
      <c r="Q23" s="19">
        <f>IF(P23="","",IF(P23="NE","",IF(P23="0",0,IF(P23="1",0.5,IF(P23="2",1,0)))*$F23*$F$21*20))</f>
        <v/>
      </c>
      <c r="R23" s="20">
        <f>IF(P23="NE","~",IF(P23="","",""))</f>
        <v/>
      </c>
      <c r="S23" s="18" t="n"/>
      <c r="T23" s="19">
        <f>IF(S23="","",IF(S23="NE","",IF(S23="0",0,IF(S23="1",0.5,IF(S23="2",1,0)))*$F23*$F$21*20))</f>
        <v/>
      </c>
      <c r="U23" s="20">
        <f>IF(S23="NE","~",IF(S23="","",""))</f>
        <v/>
      </c>
      <c r="V23" s="18" t="n"/>
      <c r="W23" s="19">
        <f>IF(V23="","",IF(V23="NE","",IF(V23="0",0,IF(V23="1",0.5,IF(V23="2",1,0)))*$F23*$F$21*20))</f>
        <v/>
      </c>
      <c r="X23" s="20">
        <f>IF(V23="NE","~",IF(V23="","",""))</f>
        <v/>
      </c>
      <c r="Y23" s="18" t="n"/>
      <c r="Z23" s="19">
        <f>IF(Y23="","",IF(Y23="NE","",IF(Y23="0",0,IF(Y23="1",0.5,IF(Y23="2",1,0)))*$F23*$F$21*20))</f>
        <v/>
      </c>
      <c r="AA23" s="20">
        <f>IF(Y23="NE","~",IF(Y23="","",""))</f>
        <v/>
      </c>
      <c r="AB23" s="18" t="n"/>
      <c r="AC23" s="19">
        <f>IF(AB23="","",IF(AB23="NE","",IF(AB23="0",0,IF(AB23="1",0.5,IF(AB23="2",1,0)))*$F23*$F$21*20))</f>
        <v/>
      </c>
      <c r="AD23" s="20">
        <f>IF(AB23="NE","~",IF(AB23="","",""))</f>
        <v/>
      </c>
      <c r="AE23" s="18" t="n"/>
      <c r="AF23" s="19">
        <f>IF(AE23="","",IF(AE23="NE","",IF(AE23="0",0,IF(AE23="1",0.5,IF(AE23="2",1,0)))*$F23*$F$21*20))</f>
        <v/>
      </c>
      <c r="AG23" s="20">
        <f>IF(AE23="NE","~",IF(AE23="","",""))</f>
        <v/>
      </c>
      <c r="AH23" s="18" t="n"/>
      <c r="AI23" s="19">
        <f>IF(AH23="","",IF(AH23="NE","",IF(AH23="0",0,IF(AH23="1",0.5,IF(AH23="2",1,0)))*$F23*$F$21*20))</f>
        <v/>
      </c>
      <c r="AJ23" s="20">
        <f>IF(AH23="NE","~",IF(AH23="","",""))</f>
        <v/>
      </c>
      <c r="AK23" s="18" t="n"/>
      <c r="AL23" s="19">
        <f>IF(AK23="","",IF(AK23="NE","",IF(AK23="0",0,IF(AK23="1",0.5,IF(AK23="2",1,0)))*$F23*$F$21*20))</f>
        <v/>
      </c>
      <c r="AM23" s="20">
        <f>IF(AK23="NE","~",IF(AK23="","",""))</f>
        <v/>
      </c>
      <c r="AN23" s="18" t="n"/>
      <c r="AO23" s="19">
        <f>IF(AN23="","",IF(AN23="NE","",IF(AN23="0",0,IF(AN23="1",0.5,IF(AN23="2",1,0)))*$F23*$F$21*20))</f>
        <v/>
      </c>
      <c r="AP23" s="20">
        <f>IF(AN23="NE","~",IF(AN23="","",""))</f>
        <v/>
      </c>
      <c r="AQ23" s="18" t="n"/>
      <c r="AR23" s="19">
        <f>IF(AQ23="","",IF(AQ23="NE","",IF(AQ23="0",0,IF(AQ23="1",0.5,IF(AQ23="2",1,0)))*$F23*$F$21*20))</f>
        <v/>
      </c>
      <c r="AS23" s="20">
        <f>IF(AQ23="NE","~",IF(AQ23="","",""))</f>
        <v/>
      </c>
      <c r="AT23" s="18" t="n"/>
      <c r="AU23" s="19">
        <f>IF(AT23="","",IF(AT23="NE","",IF(AT23="0",0,IF(AT23="1",0.5,IF(AT23="2",1,0)))*$F23*$F$21*20))</f>
        <v/>
      </c>
      <c r="AV23" s="20">
        <f>IF(AT23="NE","~",IF(AT23="","",""))</f>
        <v/>
      </c>
      <c r="AW23" s="18" t="n"/>
      <c r="AX23" s="19">
        <f>IF(AW23="","",IF(AW23="NE","",IF(AW23="0",0,IF(AW23="1",0.5,IF(AW23="2",1,0)))*$F23*$F$21*20))</f>
        <v/>
      </c>
      <c r="AY23" s="20">
        <f>IF(AW23="NE","~",IF(AW23="","",""))</f>
        <v/>
      </c>
      <c r="AZ23" s="18" t="n"/>
      <c r="BA23" s="19">
        <f>IF(AZ23="","",IF(AZ23="NE","",IF(AZ23="0",0,IF(AZ23="1",0.5,IF(AZ23="2",1,0)))*$F23*$F$21*20))</f>
        <v/>
      </c>
      <c r="BB23" s="20">
        <f>IF(AZ23="NE","~",IF(AZ23="","",""))</f>
        <v/>
      </c>
      <c r="BC23" s="18" t="n"/>
      <c r="BD23" s="19">
        <f>IF(BC23="","",IF(BC23="NE","",IF(BC23="0",0,IF(BC23="1",0.5,IF(BC23="2",1,0)))*$F23*$F$21*20))</f>
        <v/>
      </c>
      <c r="BE23" s="20">
        <f>IF(BC23="NE","~",IF(BC23="","",""))</f>
        <v/>
      </c>
      <c r="BF23" s="18" t="n"/>
      <c r="BG23" s="19">
        <f>IF(BF23="","",IF(BF23="NE","",IF(BF23="0",0,IF(BF23="1",0.5,IF(BF23="2",1,0)))*$F23*$F$21*20))</f>
        <v/>
      </c>
      <c r="BH23" s="20">
        <f>IF(BF23="NE","~",IF(BF23="","",""))</f>
        <v/>
      </c>
      <c r="BI23" s="18" t="n"/>
      <c r="BJ23" s="19">
        <f>IF(BI23="","",IF(BI23="NE","",IF(BI23="0",0,IF(BI23="1",0.5,IF(BI23="2",1,0)))*$F23*$F$21*20))</f>
        <v/>
      </c>
      <c r="BK23" s="20">
        <f>IF(BI23="NE","~",IF(BI23="","",""))</f>
        <v/>
      </c>
      <c r="BL23" s="18" t="n"/>
      <c r="BM23" s="19">
        <f>IF(BL23="","",IF(BL23="NE","",IF(BL23="0",0,IF(BL23="1",0.5,IF(BL23="2",1,0)))*$F23*$F$21*20))</f>
        <v/>
      </c>
      <c r="BN23" s="20">
        <f>IF(BL23="NE","~",IF(BL23="","",""))</f>
        <v/>
      </c>
      <c r="BO23" s="18" t="n"/>
      <c r="BP23" s="19">
        <f>IF(BO23="","",IF(BO23="NE","",IF(BO23="0",0,IF(BO23="1",0.5,IF(BO23="2",1,0)))*$F23*$F$21*20))</f>
        <v/>
      </c>
      <c r="BQ23" s="20">
        <f>IF(BO23="NE","~",IF(BO23="","",""))</f>
        <v/>
      </c>
      <c r="BR23" s="18" t="n"/>
      <c r="BS23" s="19">
        <f>IF(BR23="","",IF(BR23="NE","",IF(BR23="0",0,IF(BR23="1",0.5,IF(BR23="2",1,0)))*$F23*$F$21*20))</f>
        <v/>
      </c>
      <c r="BT23" s="20">
        <f>IF(BR23="NE","~",IF(BR23="","",""))</f>
        <v/>
      </c>
      <c r="BU23" s="18" t="n"/>
      <c r="BV23" s="19">
        <f>IF(BU23="","",IF(BU23="NE","",IF(BU23="0",0,IF(BU23="1",0.5,IF(BU23="2",1,0)))*$F23*$F$21*20))</f>
        <v/>
      </c>
      <c r="BW23" s="20">
        <f>IF(BU23="NE","~",IF(BU23="","",""))</f>
        <v/>
      </c>
      <c r="BX23" s="18" t="n"/>
      <c r="BY23" s="19">
        <f>IF(BX23="","",IF(BX23="NE","",IF(BX23="0",0,IF(BX23="1",0.5,IF(BX23="2",1,0)))*$F23*$F$21*20))</f>
        <v/>
      </c>
      <c r="BZ23" s="20">
        <f>IF(BX23="NE","~",IF(BX23="","",""))</f>
        <v/>
      </c>
      <c r="CA23" s="18" t="n"/>
      <c r="CB23" s="19">
        <f>IF(CA23="","",IF(CA23="NE","",IF(CA23="0",0,IF(CA23="1",0.5,IF(CA23="2",1,0)))*$F23*$F$21*20))</f>
        <v/>
      </c>
      <c r="CC23" s="20">
        <f>IF(CA23="NE","~",IF(CA23="","",""))</f>
        <v/>
      </c>
      <c r="CD23" s="18" t="n"/>
      <c r="CE23" s="19">
        <f>IF(CD23="","",IF(CD23="NE","",IF(CD23="0",0,IF(CD23="1",0.5,IF(CD23="2",1,0)))*$F23*$F$21*20))</f>
        <v/>
      </c>
      <c r="CF23" s="20">
        <f>IF(CD23="NE","~",IF(CD23="","",""))</f>
        <v/>
      </c>
      <c r="CG23" s="18" t="n"/>
      <c r="CH23" s="19">
        <f>IF(CG23="","",IF(CG23="NE","",IF(CG23="0",0,IF(CG23="1",0.5,IF(CG23="2",1,0)))*$F23*$F$21*20))</f>
        <v/>
      </c>
      <c r="CI23" s="20">
        <f>IF(CG23="NE","~",IF(CG23="","",""))</f>
        <v/>
      </c>
      <c r="CJ23" s="18" t="n"/>
      <c r="CK23" s="19">
        <f>IF(CJ23="","",IF(CJ23="NE","",IF(CJ23="0",0,IF(CJ23="1",0.5,IF(CJ23="2",1,0)))*$F23*$F$21*20))</f>
        <v/>
      </c>
      <c r="CL23" s="20">
        <f>IF(CJ23="NE","~",IF(CJ23="","",""))</f>
        <v/>
      </c>
      <c r="CM23" s="18" t="n"/>
      <c r="CN23" s="19">
        <f>IF(CM23="","",IF(CM23="NE","",IF(CM23="0",0,IF(CM23="1",0.5,IF(CM23="2",1,0)))*$F23*$F$21*20))</f>
        <v/>
      </c>
      <c r="CO23" s="20">
        <f>IF(CM23="NE","~",IF(CM23="","",""))</f>
        <v/>
      </c>
      <c r="CP23" s="18" t="n"/>
      <c r="CQ23" s="19">
        <f>IF(CP23="","",IF(CP23="NE","",IF(CP23="0",0,IF(CP23="1",0.5,IF(CP23="2",1,0)))*$F23*$F$21*20))</f>
        <v/>
      </c>
      <c r="CR23" s="20">
        <f>IF(CP23="NE","~",IF(CP23="","",""))</f>
        <v/>
      </c>
    </row>
    <row r="24" ht="36" customHeight="1">
      <c r="A24" s="15" t="n">
        <v>18</v>
      </c>
      <c r="B24" s="15" t="inlineStr">
        <is>
          <t>P3</t>
        </is>
      </c>
      <c r="C24" s="15" t="inlineStr">
        <is>
          <t>Q3.2</t>
        </is>
      </c>
      <c r="D24" s="15" t="inlineStr">
        <is>
          <t>Critère</t>
        </is>
      </c>
      <c r="E24" s="16" t="inlineStr">
        <is>
          <t>Adresse IP proposée compatible et disponible (dans la plage réservée WiFi).</t>
        </is>
      </c>
      <c r="F24" s="17" t="n">
        <v>0.25</v>
      </c>
      <c r="G24" s="18" t="n"/>
      <c r="H24" s="19">
        <f>IF(G24="","",IF(G24="NE","",IF(G24="0",0,IF(G24="1",0.5,IF(G24="2",1,0)))*$F24*$F$21*20))</f>
        <v/>
      </c>
      <c r="I24" s="20">
        <f>IF(G24="NE","~",IF(G24="","",""))</f>
        <v/>
      </c>
      <c r="J24" s="18" t="n"/>
      <c r="K24" s="19">
        <f>IF(J24="","",IF(J24="NE","",IF(J24="0",0,IF(J24="1",0.5,IF(J24="2",1,0)))*$F24*$F$21*20))</f>
        <v/>
      </c>
      <c r="L24" s="20">
        <f>IF(J24="NE","~",IF(J24="","",""))</f>
        <v/>
      </c>
      <c r="M24" s="18" t="n"/>
      <c r="N24" s="19">
        <f>IF(M24="","",IF(M24="NE","",IF(M24="0",0,IF(M24="1",0.5,IF(M24="2",1,0)))*$F24*$F$21*20))</f>
        <v/>
      </c>
      <c r="O24" s="20">
        <f>IF(M24="NE","~",IF(M24="","",""))</f>
        <v/>
      </c>
      <c r="P24" s="18" t="n"/>
      <c r="Q24" s="19">
        <f>IF(P24="","",IF(P24="NE","",IF(P24="0",0,IF(P24="1",0.5,IF(P24="2",1,0)))*$F24*$F$21*20))</f>
        <v/>
      </c>
      <c r="R24" s="20">
        <f>IF(P24="NE","~",IF(P24="","",""))</f>
        <v/>
      </c>
      <c r="S24" s="18" t="n"/>
      <c r="T24" s="19">
        <f>IF(S24="","",IF(S24="NE","",IF(S24="0",0,IF(S24="1",0.5,IF(S24="2",1,0)))*$F24*$F$21*20))</f>
        <v/>
      </c>
      <c r="U24" s="20">
        <f>IF(S24="NE","~",IF(S24="","",""))</f>
        <v/>
      </c>
      <c r="V24" s="18" t="n"/>
      <c r="W24" s="19">
        <f>IF(V24="","",IF(V24="NE","",IF(V24="0",0,IF(V24="1",0.5,IF(V24="2",1,0)))*$F24*$F$21*20))</f>
        <v/>
      </c>
      <c r="X24" s="20">
        <f>IF(V24="NE","~",IF(V24="","",""))</f>
        <v/>
      </c>
      <c r="Y24" s="18" t="n"/>
      <c r="Z24" s="19">
        <f>IF(Y24="","",IF(Y24="NE","",IF(Y24="0",0,IF(Y24="1",0.5,IF(Y24="2",1,0)))*$F24*$F$21*20))</f>
        <v/>
      </c>
      <c r="AA24" s="20">
        <f>IF(Y24="NE","~",IF(Y24="","",""))</f>
        <v/>
      </c>
      <c r="AB24" s="18" t="n"/>
      <c r="AC24" s="19">
        <f>IF(AB24="","",IF(AB24="NE","",IF(AB24="0",0,IF(AB24="1",0.5,IF(AB24="2",1,0)))*$F24*$F$21*20))</f>
        <v/>
      </c>
      <c r="AD24" s="20">
        <f>IF(AB24="NE","~",IF(AB24="","",""))</f>
        <v/>
      </c>
      <c r="AE24" s="18" t="n"/>
      <c r="AF24" s="19">
        <f>IF(AE24="","",IF(AE24="NE","",IF(AE24="0",0,IF(AE24="1",0.5,IF(AE24="2",1,0)))*$F24*$F$21*20))</f>
        <v/>
      </c>
      <c r="AG24" s="20">
        <f>IF(AE24="NE","~",IF(AE24="","",""))</f>
        <v/>
      </c>
      <c r="AH24" s="18" t="n"/>
      <c r="AI24" s="19">
        <f>IF(AH24="","",IF(AH24="NE","",IF(AH24="0",0,IF(AH24="1",0.5,IF(AH24="2",1,0)))*$F24*$F$21*20))</f>
        <v/>
      </c>
      <c r="AJ24" s="20">
        <f>IF(AH24="NE","~",IF(AH24="","",""))</f>
        <v/>
      </c>
      <c r="AK24" s="18" t="n"/>
      <c r="AL24" s="19">
        <f>IF(AK24="","",IF(AK24="NE","",IF(AK24="0",0,IF(AK24="1",0.5,IF(AK24="2",1,0)))*$F24*$F$21*20))</f>
        <v/>
      </c>
      <c r="AM24" s="20">
        <f>IF(AK24="NE","~",IF(AK24="","",""))</f>
        <v/>
      </c>
      <c r="AN24" s="18" t="n"/>
      <c r="AO24" s="19">
        <f>IF(AN24="","",IF(AN24="NE","",IF(AN24="0",0,IF(AN24="1",0.5,IF(AN24="2",1,0)))*$F24*$F$21*20))</f>
        <v/>
      </c>
      <c r="AP24" s="20">
        <f>IF(AN24="NE","~",IF(AN24="","",""))</f>
        <v/>
      </c>
      <c r="AQ24" s="18" t="n"/>
      <c r="AR24" s="19">
        <f>IF(AQ24="","",IF(AQ24="NE","",IF(AQ24="0",0,IF(AQ24="1",0.5,IF(AQ24="2",1,0)))*$F24*$F$21*20))</f>
        <v/>
      </c>
      <c r="AS24" s="20">
        <f>IF(AQ24="NE","~",IF(AQ24="","",""))</f>
        <v/>
      </c>
      <c r="AT24" s="18" t="n"/>
      <c r="AU24" s="19">
        <f>IF(AT24="","",IF(AT24="NE","",IF(AT24="0",0,IF(AT24="1",0.5,IF(AT24="2",1,0)))*$F24*$F$21*20))</f>
        <v/>
      </c>
      <c r="AV24" s="20">
        <f>IF(AT24="NE","~",IF(AT24="","",""))</f>
        <v/>
      </c>
      <c r="AW24" s="18" t="n"/>
      <c r="AX24" s="19">
        <f>IF(AW24="","",IF(AW24="NE","",IF(AW24="0",0,IF(AW24="1",0.5,IF(AW24="2",1,0)))*$F24*$F$21*20))</f>
        <v/>
      </c>
      <c r="AY24" s="20">
        <f>IF(AW24="NE","~",IF(AW24="","",""))</f>
        <v/>
      </c>
      <c r="AZ24" s="18" t="n"/>
      <c r="BA24" s="19">
        <f>IF(AZ24="","",IF(AZ24="NE","",IF(AZ24="0",0,IF(AZ24="1",0.5,IF(AZ24="2",1,0)))*$F24*$F$21*20))</f>
        <v/>
      </c>
      <c r="BB24" s="20">
        <f>IF(AZ24="NE","~",IF(AZ24="","",""))</f>
        <v/>
      </c>
      <c r="BC24" s="18" t="n"/>
      <c r="BD24" s="19">
        <f>IF(BC24="","",IF(BC24="NE","",IF(BC24="0",0,IF(BC24="1",0.5,IF(BC24="2",1,0)))*$F24*$F$21*20))</f>
        <v/>
      </c>
      <c r="BE24" s="20">
        <f>IF(BC24="NE","~",IF(BC24="","",""))</f>
        <v/>
      </c>
      <c r="BF24" s="18" t="n"/>
      <c r="BG24" s="19">
        <f>IF(BF24="","",IF(BF24="NE","",IF(BF24="0",0,IF(BF24="1",0.5,IF(BF24="2",1,0)))*$F24*$F$21*20))</f>
        <v/>
      </c>
      <c r="BH24" s="20">
        <f>IF(BF24="NE","~",IF(BF24="","",""))</f>
        <v/>
      </c>
      <c r="BI24" s="18" t="n"/>
      <c r="BJ24" s="19">
        <f>IF(BI24="","",IF(BI24="NE","",IF(BI24="0",0,IF(BI24="1",0.5,IF(BI24="2",1,0)))*$F24*$F$21*20))</f>
        <v/>
      </c>
      <c r="BK24" s="20">
        <f>IF(BI24="NE","~",IF(BI24="","",""))</f>
        <v/>
      </c>
      <c r="BL24" s="18" t="n"/>
      <c r="BM24" s="19">
        <f>IF(BL24="","",IF(BL24="NE","",IF(BL24="0",0,IF(BL24="1",0.5,IF(BL24="2",1,0)))*$F24*$F$21*20))</f>
        <v/>
      </c>
      <c r="BN24" s="20">
        <f>IF(BL24="NE","~",IF(BL24="","",""))</f>
        <v/>
      </c>
      <c r="BO24" s="18" t="n"/>
      <c r="BP24" s="19">
        <f>IF(BO24="","",IF(BO24="NE","",IF(BO24="0",0,IF(BO24="1",0.5,IF(BO24="2",1,0)))*$F24*$F$21*20))</f>
        <v/>
      </c>
      <c r="BQ24" s="20">
        <f>IF(BO24="NE","~",IF(BO24="","",""))</f>
        <v/>
      </c>
      <c r="BR24" s="18" t="n"/>
      <c r="BS24" s="19">
        <f>IF(BR24="","",IF(BR24="NE","",IF(BR24="0",0,IF(BR24="1",0.5,IF(BR24="2",1,0)))*$F24*$F$21*20))</f>
        <v/>
      </c>
      <c r="BT24" s="20">
        <f>IF(BR24="NE","~",IF(BR24="","",""))</f>
        <v/>
      </c>
      <c r="BU24" s="18" t="n"/>
      <c r="BV24" s="19">
        <f>IF(BU24="","",IF(BU24="NE","",IF(BU24="0",0,IF(BU24="1",0.5,IF(BU24="2",1,0)))*$F24*$F$21*20))</f>
        <v/>
      </c>
      <c r="BW24" s="20">
        <f>IF(BU24="NE","~",IF(BU24="","",""))</f>
        <v/>
      </c>
      <c r="BX24" s="18" t="n"/>
      <c r="BY24" s="19">
        <f>IF(BX24="","",IF(BX24="NE","",IF(BX24="0",0,IF(BX24="1",0.5,IF(BX24="2",1,0)))*$F24*$F$21*20))</f>
        <v/>
      </c>
      <c r="BZ24" s="20">
        <f>IF(BX24="NE","~",IF(BX24="","",""))</f>
        <v/>
      </c>
      <c r="CA24" s="18" t="n"/>
      <c r="CB24" s="19">
        <f>IF(CA24="","",IF(CA24="NE","",IF(CA24="0",0,IF(CA24="1",0.5,IF(CA24="2",1,0)))*$F24*$F$21*20))</f>
        <v/>
      </c>
      <c r="CC24" s="20">
        <f>IF(CA24="NE","~",IF(CA24="","",""))</f>
        <v/>
      </c>
      <c r="CD24" s="18" t="n"/>
      <c r="CE24" s="19">
        <f>IF(CD24="","",IF(CD24="NE","",IF(CD24="0",0,IF(CD24="1",0.5,IF(CD24="2",1,0)))*$F24*$F$21*20))</f>
        <v/>
      </c>
      <c r="CF24" s="20">
        <f>IF(CD24="NE","~",IF(CD24="","",""))</f>
        <v/>
      </c>
      <c r="CG24" s="18" t="n"/>
      <c r="CH24" s="19">
        <f>IF(CG24="","",IF(CG24="NE","",IF(CG24="0",0,IF(CG24="1",0.5,IF(CG24="2",1,0)))*$F24*$F$21*20))</f>
        <v/>
      </c>
      <c r="CI24" s="20">
        <f>IF(CG24="NE","~",IF(CG24="","",""))</f>
        <v/>
      </c>
      <c r="CJ24" s="18" t="n"/>
      <c r="CK24" s="19">
        <f>IF(CJ24="","",IF(CJ24="NE","",IF(CJ24="0",0,IF(CJ24="1",0.5,IF(CJ24="2",1,0)))*$F24*$F$21*20))</f>
        <v/>
      </c>
      <c r="CL24" s="20">
        <f>IF(CJ24="NE","~",IF(CJ24="","",""))</f>
        <v/>
      </c>
      <c r="CM24" s="18" t="n"/>
      <c r="CN24" s="19">
        <f>IF(CM24="","",IF(CM24="NE","",IF(CM24="0",0,IF(CM24="1",0.5,IF(CM24="2",1,0)))*$F24*$F$21*20))</f>
        <v/>
      </c>
      <c r="CO24" s="20">
        <f>IF(CM24="NE","~",IF(CM24="","",""))</f>
        <v/>
      </c>
      <c r="CP24" s="18" t="n"/>
      <c r="CQ24" s="19">
        <f>IF(CP24="","",IF(CP24="NE","",IF(CP24="0",0,IF(CP24="1",0.5,IF(CP24="2",1,0)))*$F24*$F$21*20))</f>
        <v/>
      </c>
      <c r="CR24" s="20">
        <f>IF(CP24="NE","~",IF(CP24="","",""))</f>
        <v/>
      </c>
    </row>
    <row r="25" ht="36" customHeight="1">
      <c r="A25" s="15" t="n">
        <v>19</v>
      </c>
      <c r="B25" s="15" t="inlineStr">
        <is>
          <t>P3</t>
        </is>
      </c>
      <c r="C25" s="15" t="inlineStr">
        <is>
          <t>Q3.3</t>
        </is>
      </c>
      <c r="D25" s="15" t="inlineStr">
        <is>
          <t>Critère</t>
        </is>
      </c>
      <c r="E25" s="16" t="inlineStr">
        <is>
          <t>Protection des personnes : détecteurs multigaz + surveillance temps réel des expositions aux gaz nocifs.</t>
        </is>
      </c>
      <c r="F25" s="17" t="n">
        <v>0.25</v>
      </c>
      <c r="G25" s="18" t="n"/>
      <c r="H25" s="19">
        <f>IF(G25="","",IF(G25="NE","",IF(G25="0",0,IF(G25="1",0.5,IF(G25="2",1,0)))*$F25*$F$21*20))</f>
        <v/>
      </c>
      <c r="I25" s="20">
        <f>IF(G25="NE","~",IF(G25="","",""))</f>
        <v/>
      </c>
      <c r="J25" s="18" t="n"/>
      <c r="K25" s="19">
        <f>IF(J25="","",IF(J25="NE","",IF(J25="0",0,IF(J25="1",0.5,IF(J25="2",1,0)))*$F25*$F$21*20))</f>
        <v/>
      </c>
      <c r="L25" s="20">
        <f>IF(J25="NE","~",IF(J25="","",""))</f>
        <v/>
      </c>
      <c r="M25" s="18" t="n"/>
      <c r="N25" s="19">
        <f>IF(M25="","",IF(M25="NE","",IF(M25="0",0,IF(M25="1",0.5,IF(M25="2",1,0)))*$F25*$F$21*20))</f>
        <v/>
      </c>
      <c r="O25" s="20">
        <f>IF(M25="NE","~",IF(M25="","",""))</f>
        <v/>
      </c>
      <c r="P25" s="18" t="n"/>
      <c r="Q25" s="19">
        <f>IF(P25="","",IF(P25="NE","",IF(P25="0",0,IF(P25="1",0.5,IF(P25="2",1,0)))*$F25*$F$21*20))</f>
        <v/>
      </c>
      <c r="R25" s="20">
        <f>IF(P25="NE","~",IF(P25="","",""))</f>
        <v/>
      </c>
      <c r="S25" s="18" t="n"/>
      <c r="T25" s="19">
        <f>IF(S25="","",IF(S25="NE","",IF(S25="0",0,IF(S25="1",0.5,IF(S25="2",1,0)))*$F25*$F$21*20))</f>
        <v/>
      </c>
      <c r="U25" s="20">
        <f>IF(S25="NE","~",IF(S25="","",""))</f>
        <v/>
      </c>
      <c r="V25" s="18" t="n"/>
      <c r="W25" s="19">
        <f>IF(V25="","",IF(V25="NE","",IF(V25="0",0,IF(V25="1",0.5,IF(V25="2",1,0)))*$F25*$F$21*20))</f>
        <v/>
      </c>
      <c r="X25" s="20">
        <f>IF(V25="NE","~",IF(V25="","",""))</f>
        <v/>
      </c>
      <c r="Y25" s="18" t="n"/>
      <c r="Z25" s="19">
        <f>IF(Y25="","",IF(Y25="NE","",IF(Y25="0",0,IF(Y25="1",0.5,IF(Y25="2",1,0)))*$F25*$F$21*20))</f>
        <v/>
      </c>
      <c r="AA25" s="20">
        <f>IF(Y25="NE","~",IF(Y25="","",""))</f>
        <v/>
      </c>
      <c r="AB25" s="18" t="n"/>
      <c r="AC25" s="19">
        <f>IF(AB25="","",IF(AB25="NE","",IF(AB25="0",0,IF(AB25="1",0.5,IF(AB25="2",1,0)))*$F25*$F$21*20))</f>
        <v/>
      </c>
      <c r="AD25" s="20">
        <f>IF(AB25="NE","~",IF(AB25="","",""))</f>
        <v/>
      </c>
      <c r="AE25" s="18" t="n"/>
      <c r="AF25" s="19">
        <f>IF(AE25="","",IF(AE25="NE","",IF(AE25="0",0,IF(AE25="1",0.5,IF(AE25="2",1,0)))*$F25*$F$21*20))</f>
        <v/>
      </c>
      <c r="AG25" s="20">
        <f>IF(AE25="NE","~",IF(AE25="","",""))</f>
        <v/>
      </c>
      <c r="AH25" s="18" t="n"/>
      <c r="AI25" s="19">
        <f>IF(AH25="","",IF(AH25="NE","",IF(AH25="0",0,IF(AH25="1",0.5,IF(AH25="2",1,0)))*$F25*$F$21*20))</f>
        <v/>
      </c>
      <c r="AJ25" s="20">
        <f>IF(AH25="NE","~",IF(AH25="","",""))</f>
        <v/>
      </c>
      <c r="AK25" s="18" t="n"/>
      <c r="AL25" s="19">
        <f>IF(AK25="","",IF(AK25="NE","",IF(AK25="0",0,IF(AK25="1",0.5,IF(AK25="2",1,0)))*$F25*$F$21*20))</f>
        <v/>
      </c>
      <c r="AM25" s="20">
        <f>IF(AK25="NE","~",IF(AK25="","",""))</f>
        <v/>
      </c>
      <c r="AN25" s="18" t="n"/>
      <c r="AO25" s="19">
        <f>IF(AN25="","",IF(AN25="NE","",IF(AN25="0",0,IF(AN25="1",0.5,IF(AN25="2",1,0)))*$F25*$F$21*20))</f>
        <v/>
      </c>
      <c r="AP25" s="20">
        <f>IF(AN25="NE","~",IF(AN25="","",""))</f>
        <v/>
      </c>
      <c r="AQ25" s="18" t="n"/>
      <c r="AR25" s="19">
        <f>IF(AQ25="","",IF(AQ25="NE","",IF(AQ25="0",0,IF(AQ25="1",0.5,IF(AQ25="2",1,0)))*$F25*$F$21*20))</f>
        <v/>
      </c>
      <c r="AS25" s="20">
        <f>IF(AQ25="NE","~",IF(AQ25="","",""))</f>
        <v/>
      </c>
      <c r="AT25" s="18" t="n"/>
      <c r="AU25" s="19">
        <f>IF(AT25="","",IF(AT25="NE","",IF(AT25="0",0,IF(AT25="1",0.5,IF(AT25="2",1,0)))*$F25*$F$21*20))</f>
        <v/>
      </c>
      <c r="AV25" s="20">
        <f>IF(AT25="NE","~",IF(AT25="","",""))</f>
        <v/>
      </c>
      <c r="AW25" s="18" t="n"/>
      <c r="AX25" s="19">
        <f>IF(AW25="","",IF(AW25="NE","",IF(AW25="0",0,IF(AW25="1",0.5,IF(AW25="2",1,0)))*$F25*$F$21*20))</f>
        <v/>
      </c>
      <c r="AY25" s="20">
        <f>IF(AW25="NE","~",IF(AW25="","",""))</f>
        <v/>
      </c>
      <c r="AZ25" s="18" t="n"/>
      <c r="BA25" s="19">
        <f>IF(AZ25="","",IF(AZ25="NE","",IF(AZ25="0",0,IF(AZ25="1",0.5,IF(AZ25="2",1,0)))*$F25*$F$21*20))</f>
        <v/>
      </c>
      <c r="BB25" s="20">
        <f>IF(AZ25="NE","~",IF(AZ25="","",""))</f>
        <v/>
      </c>
      <c r="BC25" s="18" t="n"/>
      <c r="BD25" s="19">
        <f>IF(BC25="","",IF(BC25="NE","",IF(BC25="0",0,IF(BC25="1",0.5,IF(BC25="2",1,0)))*$F25*$F$21*20))</f>
        <v/>
      </c>
      <c r="BE25" s="20">
        <f>IF(BC25="NE","~",IF(BC25="","",""))</f>
        <v/>
      </c>
      <c r="BF25" s="18" t="n"/>
      <c r="BG25" s="19">
        <f>IF(BF25="","",IF(BF25="NE","",IF(BF25="0",0,IF(BF25="1",0.5,IF(BF25="2",1,0)))*$F25*$F$21*20))</f>
        <v/>
      </c>
      <c r="BH25" s="20">
        <f>IF(BF25="NE","~",IF(BF25="","",""))</f>
        <v/>
      </c>
      <c r="BI25" s="18" t="n"/>
      <c r="BJ25" s="19">
        <f>IF(BI25="","",IF(BI25="NE","",IF(BI25="0",0,IF(BI25="1",0.5,IF(BI25="2",1,0)))*$F25*$F$21*20))</f>
        <v/>
      </c>
      <c r="BK25" s="20">
        <f>IF(BI25="NE","~",IF(BI25="","",""))</f>
        <v/>
      </c>
      <c r="BL25" s="18" t="n"/>
      <c r="BM25" s="19">
        <f>IF(BL25="","",IF(BL25="NE","",IF(BL25="0",0,IF(BL25="1",0.5,IF(BL25="2",1,0)))*$F25*$F$21*20))</f>
        <v/>
      </c>
      <c r="BN25" s="20">
        <f>IF(BL25="NE","~",IF(BL25="","",""))</f>
        <v/>
      </c>
      <c r="BO25" s="18" t="n"/>
      <c r="BP25" s="19">
        <f>IF(BO25="","",IF(BO25="NE","",IF(BO25="0",0,IF(BO25="1",0.5,IF(BO25="2",1,0)))*$F25*$F$21*20))</f>
        <v/>
      </c>
      <c r="BQ25" s="20">
        <f>IF(BO25="NE","~",IF(BO25="","",""))</f>
        <v/>
      </c>
      <c r="BR25" s="18" t="n"/>
      <c r="BS25" s="19">
        <f>IF(BR25="","",IF(BR25="NE","",IF(BR25="0",0,IF(BR25="1",0.5,IF(BR25="2",1,0)))*$F25*$F$21*20))</f>
        <v/>
      </c>
      <c r="BT25" s="20">
        <f>IF(BR25="NE","~",IF(BR25="","",""))</f>
        <v/>
      </c>
      <c r="BU25" s="18" t="n"/>
      <c r="BV25" s="19">
        <f>IF(BU25="","",IF(BU25="NE","",IF(BU25="0",0,IF(BU25="1",0.5,IF(BU25="2",1,0)))*$F25*$F$21*20))</f>
        <v/>
      </c>
      <c r="BW25" s="20">
        <f>IF(BU25="NE","~",IF(BU25="","",""))</f>
        <v/>
      </c>
      <c r="BX25" s="18" t="n"/>
      <c r="BY25" s="19">
        <f>IF(BX25="","",IF(BX25="NE","",IF(BX25="0",0,IF(BX25="1",0.5,IF(BX25="2",1,0)))*$F25*$F$21*20))</f>
        <v/>
      </c>
      <c r="BZ25" s="20">
        <f>IF(BX25="NE","~",IF(BX25="","",""))</f>
        <v/>
      </c>
      <c r="CA25" s="18" t="n"/>
      <c r="CB25" s="19">
        <f>IF(CA25="","",IF(CA25="NE","",IF(CA25="0",0,IF(CA25="1",0.5,IF(CA25="2",1,0)))*$F25*$F$21*20))</f>
        <v/>
      </c>
      <c r="CC25" s="20">
        <f>IF(CA25="NE","~",IF(CA25="","",""))</f>
        <v/>
      </c>
      <c r="CD25" s="18" t="n"/>
      <c r="CE25" s="19">
        <f>IF(CD25="","",IF(CD25="NE","",IF(CD25="0",0,IF(CD25="1",0.5,IF(CD25="2",1,0)))*$F25*$F$21*20))</f>
        <v/>
      </c>
      <c r="CF25" s="20">
        <f>IF(CD25="NE","~",IF(CD25="","",""))</f>
        <v/>
      </c>
      <c r="CG25" s="18" t="n"/>
      <c r="CH25" s="19">
        <f>IF(CG25="","",IF(CG25="NE","",IF(CG25="0",0,IF(CG25="1",0.5,IF(CG25="2",1,0)))*$F25*$F$21*20))</f>
        <v/>
      </c>
      <c r="CI25" s="20">
        <f>IF(CG25="NE","~",IF(CG25="","",""))</f>
        <v/>
      </c>
      <c r="CJ25" s="18" t="n"/>
      <c r="CK25" s="19">
        <f>IF(CJ25="","",IF(CJ25="NE","",IF(CJ25="0",0,IF(CJ25="1",0.5,IF(CJ25="2",1,0)))*$F25*$F$21*20))</f>
        <v/>
      </c>
      <c r="CL25" s="20">
        <f>IF(CJ25="NE","~",IF(CJ25="","",""))</f>
        <v/>
      </c>
      <c r="CM25" s="18" t="n"/>
      <c r="CN25" s="19">
        <f>IF(CM25="","",IF(CM25="NE","",IF(CM25="0",0,IF(CM25="1",0.5,IF(CM25="2",1,0)))*$F25*$F$21*20))</f>
        <v/>
      </c>
      <c r="CO25" s="20">
        <f>IF(CM25="NE","~",IF(CM25="","",""))</f>
        <v/>
      </c>
      <c r="CP25" s="18" t="n"/>
      <c r="CQ25" s="19">
        <f>IF(CP25="","",IF(CP25="NE","",IF(CP25="0",0,IF(CP25="1",0.5,IF(CP25="2",1,0)))*$F25*$F$21*20))</f>
        <v/>
      </c>
      <c r="CR25" s="20">
        <f>IF(CP25="NE","~",IF(CP25="","",""))</f>
        <v/>
      </c>
    </row>
    <row r="26" ht="22" customHeight="1">
      <c r="A26" s="10" t="inlineStr"/>
      <c r="B26" s="11" t="inlineStr">
        <is>
          <t>P4</t>
        </is>
      </c>
      <c r="C26" s="10" t="inlineStr"/>
      <c r="D26" s="12" t="inlineStr">
        <is>
          <t>Partie</t>
        </is>
      </c>
      <c r="E26" s="13" t="inlineStr">
        <is>
          <t>Comment justifier l'utilisation d'un séparateur de boues biologiques ?</t>
        </is>
      </c>
      <c r="F26" s="14" t="n">
        <v>0.2</v>
      </c>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0" t="n"/>
      <c r="BR26" s="10" t="n"/>
      <c r="BS26" s="10" t="n"/>
      <c r="BT26" s="10" t="n"/>
      <c r="BU26" s="10" t="n"/>
      <c r="BV26" s="10" t="n"/>
      <c r="BW26" s="10" t="n"/>
      <c r="BX26" s="10" t="n"/>
      <c r="BY26" s="10" t="n"/>
      <c r="BZ26" s="10" t="n"/>
      <c r="CA26" s="10" t="n"/>
      <c r="CB26" s="10" t="n"/>
      <c r="CC26" s="10" t="n"/>
      <c r="CD26" s="10" t="n"/>
      <c r="CE26" s="10" t="n"/>
      <c r="CF26" s="10" t="n"/>
      <c r="CG26" s="10" t="n"/>
      <c r="CH26" s="10" t="n"/>
      <c r="CI26" s="10" t="n"/>
      <c r="CJ26" s="10" t="n"/>
      <c r="CK26" s="10" t="n"/>
      <c r="CL26" s="10" t="n"/>
      <c r="CM26" s="10" t="n"/>
      <c r="CN26" s="10" t="n"/>
      <c r="CO26" s="10" t="n"/>
      <c r="CP26" s="10" t="n"/>
      <c r="CQ26" s="10" t="n"/>
      <c r="CR26" s="10" t="n"/>
    </row>
    <row r="27" ht="36" customHeight="1">
      <c r="A27" s="15" t="n">
        <v>20</v>
      </c>
      <c r="B27" s="15" t="inlineStr">
        <is>
          <t>P4</t>
        </is>
      </c>
      <c r="C27" s="15" t="inlineStr">
        <is>
          <t>Q4.1</t>
        </is>
      </c>
      <c r="D27" s="15" t="inlineStr">
        <is>
          <t>Critère</t>
        </is>
      </c>
      <c r="E27" s="16" t="inlineStr">
        <is>
          <t>Flux entrant : énergie électrique.</t>
        </is>
      </c>
      <c r="F27" s="17" t="n">
        <v>0.15</v>
      </c>
      <c r="G27" s="18" t="n"/>
      <c r="H27" s="19">
        <f>IF(G27="","",IF(G27="NE","",IF(G27="0",0,IF(G27="1",0.5,IF(G27="2",1,0)))*$F27*$F$26*20))</f>
        <v/>
      </c>
      <c r="I27" s="20">
        <f>IF(G27="NE","~",IF(G27="","",""))</f>
        <v/>
      </c>
      <c r="J27" s="18" t="n"/>
      <c r="K27" s="19">
        <f>IF(J27="","",IF(J27="NE","",IF(J27="0",0,IF(J27="1",0.5,IF(J27="2",1,0)))*$F27*$F$26*20))</f>
        <v/>
      </c>
      <c r="L27" s="20">
        <f>IF(J27="NE","~",IF(J27="","",""))</f>
        <v/>
      </c>
      <c r="M27" s="18" t="n"/>
      <c r="N27" s="19">
        <f>IF(M27="","",IF(M27="NE","",IF(M27="0",0,IF(M27="1",0.5,IF(M27="2",1,0)))*$F27*$F$26*20))</f>
        <v/>
      </c>
      <c r="O27" s="20">
        <f>IF(M27="NE","~",IF(M27="","",""))</f>
        <v/>
      </c>
      <c r="P27" s="18" t="n"/>
      <c r="Q27" s="19">
        <f>IF(P27="","",IF(P27="NE","",IF(P27="0",0,IF(P27="1",0.5,IF(P27="2",1,0)))*$F27*$F$26*20))</f>
        <v/>
      </c>
      <c r="R27" s="20">
        <f>IF(P27="NE","~",IF(P27="","",""))</f>
        <v/>
      </c>
      <c r="S27" s="18" t="n"/>
      <c r="T27" s="19">
        <f>IF(S27="","",IF(S27="NE","",IF(S27="0",0,IF(S27="1",0.5,IF(S27="2",1,0)))*$F27*$F$26*20))</f>
        <v/>
      </c>
      <c r="U27" s="20">
        <f>IF(S27="NE","~",IF(S27="","",""))</f>
        <v/>
      </c>
      <c r="V27" s="18" t="n"/>
      <c r="W27" s="19">
        <f>IF(V27="","",IF(V27="NE","",IF(V27="0",0,IF(V27="1",0.5,IF(V27="2",1,0)))*$F27*$F$26*20))</f>
        <v/>
      </c>
      <c r="X27" s="20">
        <f>IF(V27="NE","~",IF(V27="","",""))</f>
        <v/>
      </c>
      <c r="Y27" s="18" t="n"/>
      <c r="Z27" s="19">
        <f>IF(Y27="","",IF(Y27="NE","",IF(Y27="0",0,IF(Y27="1",0.5,IF(Y27="2",1,0)))*$F27*$F$26*20))</f>
        <v/>
      </c>
      <c r="AA27" s="20">
        <f>IF(Y27="NE","~",IF(Y27="","",""))</f>
        <v/>
      </c>
      <c r="AB27" s="18" t="n"/>
      <c r="AC27" s="19">
        <f>IF(AB27="","",IF(AB27="NE","",IF(AB27="0",0,IF(AB27="1",0.5,IF(AB27="2",1,0)))*$F27*$F$26*20))</f>
        <v/>
      </c>
      <c r="AD27" s="20">
        <f>IF(AB27="NE","~",IF(AB27="","",""))</f>
        <v/>
      </c>
      <c r="AE27" s="18" t="n"/>
      <c r="AF27" s="19">
        <f>IF(AE27="","",IF(AE27="NE","",IF(AE27="0",0,IF(AE27="1",0.5,IF(AE27="2",1,0)))*$F27*$F$26*20))</f>
        <v/>
      </c>
      <c r="AG27" s="20">
        <f>IF(AE27="NE","~",IF(AE27="","",""))</f>
        <v/>
      </c>
      <c r="AH27" s="18" t="n"/>
      <c r="AI27" s="19">
        <f>IF(AH27="","",IF(AH27="NE","",IF(AH27="0",0,IF(AH27="1",0.5,IF(AH27="2",1,0)))*$F27*$F$26*20))</f>
        <v/>
      </c>
      <c r="AJ27" s="20">
        <f>IF(AH27="NE","~",IF(AH27="","",""))</f>
        <v/>
      </c>
      <c r="AK27" s="18" t="n"/>
      <c r="AL27" s="19">
        <f>IF(AK27="","",IF(AK27="NE","",IF(AK27="0",0,IF(AK27="1",0.5,IF(AK27="2",1,0)))*$F27*$F$26*20))</f>
        <v/>
      </c>
      <c r="AM27" s="20">
        <f>IF(AK27="NE","~",IF(AK27="","",""))</f>
        <v/>
      </c>
      <c r="AN27" s="18" t="n"/>
      <c r="AO27" s="19">
        <f>IF(AN27="","",IF(AN27="NE","",IF(AN27="0",0,IF(AN27="1",0.5,IF(AN27="2",1,0)))*$F27*$F$26*20))</f>
        <v/>
      </c>
      <c r="AP27" s="20">
        <f>IF(AN27="NE","~",IF(AN27="","",""))</f>
        <v/>
      </c>
      <c r="AQ27" s="18" t="n"/>
      <c r="AR27" s="19">
        <f>IF(AQ27="","",IF(AQ27="NE","",IF(AQ27="0",0,IF(AQ27="1",0.5,IF(AQ27="2",1,0)))*$F27*$F$26*20))</f>
        <v/>
      </c>
      <c r="AS27" s="20">
        <f>IF(AQ27="NE","~",IF(AQ27="","",""))</f>
        <v/>
      </c>
      <c r="AT27" s="18" t="n"/>
      <c r="AU27" s="19">
        <f>IF(AT27="","",IF(AT27="NE","",IF(AT27="0",0,IF(AT27="1",0.5,IF(AT27="2",1,0)))*$F27*$F$26*20))</f>
        <v/>
      </c>
      <c r="AV27" s="20">
        <f>IF(AT27="NE","~",IF(AT27="","",""))</f>
        <v/>
      </c>
      <c r="AW27" s="18" t="n"/>
      <c r="AX27" s="19">
        <f>IF(AW27="","",IF(AW27="NE","",IF(AW27="0",0,IF(AW27="1",0.5,IF(AW27="2",1,0)))*$F27*$F$26*20))</f>
        <v/>
      </c>
      <c r="AY27" s="20">
        <f>IF(AW27="NE","~",IF(AW27="","",""))</f>
        <v/>
      </c>
      <c r="AZ27" s="18" t="n"/>
      <c r="BA27" s="19">
        <f>IF(AZ27="","",IF(AZ27="NE","",IF(AZ27="0",0,IF(AZ27="1",0.5,IF(AZ27="2",1,0)))*$F27*$F$26*20))</f>
        <v/>
      </c>
      <c r="BB27" s="20">
        <f>IF(AZ27="NE","~",IF(AZ27="","",""))</f>
        <v/>
      </c>
      <c r="BC27" s="18" t="n"/>
      <c r="BD27" s="19">
        <f>IF(BC27="","",IF(BC27="NE","",IF(BC27="0",0,IF(BC27="1",0.5,IF(BC27="2",1,0)))*$F27*$F$26*20))</f>
        <v/>
      </c>
      <c r="BE27" s="20">
        <f>IF(BC27="NE","~",IF(BC27="","",""))</f>
        <v/>
      </c>
      <c r="BF27" s="18" t="n"/>
      <c r="BG27" s="19">
        <f>IF(BF27="","",IF(BF27="NE","",IF(BF27="0",0,IF(BF27="1",0.5,IF(BF27="2",1,0)))*$F27*$F$26*20))</f>
        <v/>
      </c>
      <c r="BH27" s="20">
        <f>IF(BF27="NE","~",IF(BF27="","",""))</f>
        <v/>
      </c>
      <c r="BI27" s="18" t="n"/>
      <c r="BJ27" s="19">
        <f>IF(BI27="","",IF(BI27="NE","",IF(BI27="0",0,IF(BI27="1",0.5,IF(BI27="2",1,0)))*$F27*$F$26*20))</f>
        <v/>
      </c>
      <c r="BK27" s="20">
        <f>IF(BI27="NE","~",IF(BI27="","",""))</f>
        <v/>
      </c>
      <c r="BL27" s="18" t="n"/>
      <c r="BM27" s="19">
        <f>IF(BL27="","",IF(BL27="NE","",IF(BL27="0",0,IF(BL27="1",0.5,IF(BL27="2",1,0)))*$F27*$F$26*20))</f>
        <v/>
      </c>
      <c r="BN27" s="20">
        <f>IF(BL27="NE","~",IF(BL27="","",""))</f>
        <v/>
      </c>
      <c r="BO27" s="18" t="n"/>
      <c r="BP27" s="19">
        <f>IF(BO27="","",IF(BO27="NE","",IF(BO27="0",0,IF(BO27="1",0.5,IF(BO27="2",1,0)))*$F27*$F$26*20))</f>
        <v/>
      </c>
      <c r="BQ27" s="20">
        <f>IF(BO27="NE","~",IF(BO27="","",""))</f>
        <v/>
      </c>
      <c r="BR27" s="18" t="n"/>
      <c r="BS27" s="19">
        <f>IF(BR27="","",IF(BR27="NE","",IF(BR27="0",0,IF(BR27="1",0.5,IF(BR27="2",1,0)))*$F27*$F$26*20))</f>
        <v/>
      </c>
      <c r="BT27" s="20">
        <f>IF(BR27="NE","~",IF(BR27="","",""))</f>
        <v/>
      </c>
      <c r="BU27" s="18" t="n"/>
      <c r="BV27" s="19">
        <f>IF(BU27="","",IF(BU27="NE","",IF(BU27="0",0,IF(BU27="1",0.5,IF(BU27="2",1,0)))*$F27*$F$26*20))</f>
        <v/>
      </c>
      <c r="BW27" s="20">
        <f>IF(BU27="NE","~",IF(BU27="","",""))</f>
        <v/>
      </c>
      <c r="BX27" s="18" t="n"/>
      <c r="BY27" s="19">
        <f>IF(BX27="","",IF(BX27="NE","",IF(BX27="0",0,IF(BX27="1",0.5,IF(BX27="2",1,0)))*$F27*$F$26*20))</f>
        <v/>
      </c>
      <c r="BZ27" s="20">
        <f>IF(BX27="NE","~",IF(BX27="","",""))</f>
        <v/>
      </c>
      <c r="CA27" s="18" t="n"/>
      <c r="CB27" s="19">
        <f>IF(CA27="","",IF(CA27="NE","",IF(CA27="0",0,IF(CA27="1",0.5,IF(CA27="2",1,0)))*$F27*$F$26*20))</f>
        <v/>
      </c>
      <c r="CC27" s="20">
        <f>IF(CA27="NE","~",IF(CA27="","",""))</f>
        <v/>
      </c>
      <c r="CD27" s="18" t="n"/>
      <c r="CE27" s="19">
        <f>IF(CD27="","",IF(CD27="NE","",IF(CD27="0",0,IF(CD27="1",0.5,IF(CD27="2",1,0)))*$F27*$F$26*20))</f>
        <v/>
      </c>
      <c r="CF27" s="20">
        <f>IF(CD27="NE","~",IF(CD27="","",""))</f>
        <v/>
      </c>
      <c r="CG27" s="18" t="n"/>
      <c r="CH27" s="19">
        <f>IF(CG27="","",IF(CG27="NE","",IF(CG27="0",0,IF(CG27="1",0.5,IF(CG27="2",1,0)))*$F27*$F$26*20))</f>
        <v/>
      </c>
      <c r="CI27" s="20">
        <f>IF(CG27="NE","~",IF(CG27="","",""))</f>
        <v/>
      </c>
      <c r="CJ27" s="18" t="n"/>
      <c r="CK27" s="19">
        <f>IF(CJ27="","",IF(CJ27="NE","",IF(CJ27="0",0,IF(CJ27="1",0.5,IF(CJ27="2",1,0)))*$F27*$F$26*20))</f>
        <v/>
      </c>
      <c r="CL27" s="20">
        <f>IF(CJ27="NE","~",IF(CJ27="","",""))</f>
        <v/>
      </c>
      <c r="CM27" s="18" t="n"/>
      <c r="CN27" s="19">
        <f>IF(CM27="","",IF(CM27="NE","",IF(CM27="0",0,IF(CM27="1",0.5,IF(CM27="2",1,0)))*$F27*$F$26*20))</f>
        <v/>
      </c>
      <c r="CO27" s="20">
        <f>IF(CM27="NE","~",IF(CM27="","",""))</f>
        <v/>
      </c>
      <c r="CP27" s="18" t="n"/>
      <c r="CQ27" s="19">
        <f>IF(CP27="","",IF(CP27="NE","",IF(CP27="0",0,IF(CP27="1",0.5,IF(CP27="2",1,0)))*$F27*$F$26*20))</f>
        <v/>
      </c>
      <c r="CR27" s="20">
        <f>IF(CP27="NE","~",IF(CP27="","",""))</f>
        <v/>
      </c>
    </row>
    <row r="28" ht="36" customHeight="1">
      <c r="A28" s="15" t="n">
        <v>21</v>
      </c>
      <c r="B28" s="15" t="inlineStr">
        <is>
          <t>P4</t>
        </is>
      </c>
      <c r="C28" s="15" t="inlineStr">
        <is>
          <t>Q4.1</t>
        </is>
      </c>
      <c r="D28" s="15" t="inlineStr">
        <is>
          <t>Critère</t>
        </is>
      </c>
      <c r="E28" s="16" t="inlineStr">
        <is>
          <t>Flux interne : énergie mécanique (variateur → moteur).</t>
        </is>
      </c>
      <c r="F28" s="17" t="n">
        <v>0.15</v>
      </c>
      <c r="G28" s="18" t="n"/>
      <c r="H28" s="19">
        <f>IF(G28="","",IF(G28="NE","",IF(G28="0",0,IF(G28="1",0.5,IF(G28="2",1,0)))*$F28*$F$26*20))</f>
        <v/>
      </c>
      <c r="I28" s="20">
        <f>IF(G28="NE","~",IF(G28="","",""))</f>
        <v/>
      </c>
      <c r="J28" s="18" t="n"/>
      <c r="K28" s="19">
        <f>IF(J28="","",IF(J28="NE","",IF(J28="0",0,IF(J28="1",0.5,IF(J28="2",1,0)))*$F28*$F$26*20))</f>
        <v/>
      </c>
      <c r="L28" s="20">
        <f>IF(J28="NE","~",IF(J28="","",""))</f>
        <v/>
      </c>
      <c r="M28" s="18" t="n"/>
      <c r="N28" s="19">
        <f>IF(M28="","",IF(M28="NE","",IF(M28="0",0,IF(M28="1",0.5,IF(M28="2",1,0)))*$F28*$F$26*20))</f>
        <v/>
      </c>
      <c r="O28" s="20">
        <f>IF(M28="NE","~",IF(M28="","",""))</f>
        <v/>
      </c>
      <c r="P28" s="18" t="n"/>
      <c r="Q28" s="19">
        <f>IF(P28="","",IF(P28="NE","",IF(P28="0",0,IF(P28="1",0.5,IF(P28="2",1,0)))*$F28*$F$26*20))</f>
        <v/>
      </c>
      <c r="R28" s="20">
        <f>IF(P28="NE","~",IF(P28="","",""))</f>
        <v/>
      </c>
      <c r="S28" s="18" t="n"/>
      <c r="T28" s="19">
        <f>IF(S28="","",IF(S28="NE","",IF(S28="0",0,IF(S28="1",0.5,IF(S28="2",1,0)))*$F28*$F$26*20))</f>
        <v/>
      </c>
      <c r="U28" s="20">
        <f>IF(S28="NE","~",IF(S28="","",""))</f>
        <v/>
      </c>
      <c r="V28" s="18" t="n"/>
      <c r="W28" s="19">
        <f>IF(V28="","",IF(V28="NE","",IF(V28="0",0,IF(V28="1",0.5,IF(V28="2",1,0)))*$F28*$F$26*20))</f>
        <v/>
      </c>
      <c r="X28" s="20">
        <f>IF(V28="NE","~",IF(V28="","",""))</f>
        <v/>
      </c>
      <c r="Y28" s="18" t="n"/>
      <c r="Z28" s="19">
        <f>IF(Y28="","",IF(Y28="NE","",IF(Y28="0",0,IF(Y28="1",0.5,IF(Y28="2",1,0)))*$F28*$F$26*20))</f>
        <v/>
      </c>
      <c r="AA28" s="20">
        <f>IF(Y28="NE","~",IF(Y28="","",""))</f>
        <v/>
      </c>
      <c r="AB28" s="18" t="n"/>
      <c r="AC28" s="19">
        <f>IF(AB28="","",IF(AB28="NE","",IF(AB28="0",0,IF(AB28="1",0.5,IF(AB28="2",1,0)))*$F28*$F$26*20))</f>
        <v/>
      </c>
      <c r="AD28" s="20">
        <f>IF(AB28="NE","~",IF(AB28="","",""))</f>
        <v/>
      </c>
      <c r="AE28" s="18" t="n"/>
      <c r="AF28" s="19">
        <f>IF(AE28="","",IF(AE28="NE","",IF(AE28="0",0,IF(AE28="1",0.5,IF(AE28="2",1,0)))*$F28*$F$26*20))</f>
        <v/>
      </c>
      <c r="AG28" s="20">
        <f>IF(AE28="NE","~",IF(AE28="","",""))</f>
        <v/>
      </c>
      <c r="AH28" s="18" t="n"/>
      <c r="AI28" s="19">
        <f>IF(AH28="","",IF(AH28="NE","",IF(AH28="0",0,IF(AH28="1",0.5,IF(AH28="2",1,0)))*$F28*$F$26*20))</f>
        <v/>
      </c>
      <c r="AJ28" s="20">
        <f>IF(AH28="NE","~",IF(AH28="","",""))</f>
        <v/>
      </c>
      <c r="AK28" s="18" t="n"/>
      <c r="AL28" s="19">
        <f>IF(AK28="","",IF(AK28="NE","",IF(AK28="0",0,IF(AK28="1",0.5,IF(AK28="2",1,0)))*$F28*$F$26*20))</f>
        <v/>
      </c>
      <c r="AM28" s="20">
        <f>IF(AK28="NE","~",IF(AK28="","",""))</f>
        <v/>
      </c>
      <c r="AN28" s="18" t="n"/>
      <c r="AO28" s="19">
        <f>IF(AN28="","",IF(AN28="NE","",IF(AN28="0",0,IF(AN28="1",0.5,IF(AN28="2",1,0)))*$F28*$F$26*20))</f>
        <v/>
      </c>
      <c r="AP28" s="20">
        <f>IF(AN28="NE","~",IF(AN28="","",""))</f>
        <v/>
      </c>
      <c r="AQ28" s="18" t="n"/>
      <c r="AR28" s="19">
        <f>IF(AQ28="","",IF(AQ28="NE","",IF(AQ28="0",0,IF(AQ28="1",0.5,IF(AQ28="2",1,0)))*$F28*$F$26*20))</f>
        <v/>
      </c>
      <c r="AS28" s="20">
        <f>IF(AQ28="NE","~",IF(AQ28="","",""))</f>
        <v/>
      </c>
      <c r="AT28" s="18" t="n"/>
      <c r="AU28" s="19">
        <f>IF(AT28="","",IF(AT28="NE","",IF(AT28="0",0,IF(AT28="1",0.5,IF(AT28="2",1,0)))*$F28*$F$26*20))</f>
        <v/>
      </c>
      <c r="AV28" s="20">
        <f>IF(AT28="NE","~",IF(AT28="","",""))</f>
        <v/>
      </c>
      <c r="AW28" s="18" t="n"/>
      <c r="AX28" s="19">
        <f>IF(AW28="","",IF(AW28="NE","",IF(AW28="0",0,IF(AW28="1",0.5,IF(AW28="2",1,0)))*$F28*$F$26*20))</f>
        <v/>
      </c>
      <c r="AY28" s="20">
        <f>IF(AW28="NE","~",IF(AW28="","",""))</f>
        <v/>
      </c>
      <c r="AZ28" s="18" t="n"/>
      <c r="BA28" s="19">
        <f>IF(AZ28="","",IF(AZ28="NE","",IF(AZ28="0",0,IF(AZ28="1",0.5,IF(AZ28="2",1,0)))*$F28*$F$26*20))</f>
        <v/>
      </c>
      <c r="BB28" s="20">
        <f>IF(AZ28="NE","~",IF(AZ28="","",""))</f>
        <v/>
      </c>
      <c r="BC28" s="18" t="n"/>
      <c r="BD28" s="19">
        <f>IF(BC28="","",IF(BC28="NE","",IF(BC28="0",0,IF(BC28="1",0.5,IF(BC28="2",1,0)))*$F28*$F$26*20))</f>
        <v/>
      </c>
      <c r="BE28" s="20">
        <f>IF(BC28="NE","~",IF(BC28="","",""))</f>
        <v/>
      </c>
      <c r="BF28" s="18" t="n"/>
      <c r="BG28" s="19">
        <f>IF(BF28="","",IF(BF28="NE","",IF(BF28="0",0,IF(BF28="1",0.5,IF(BF28="2",1,0)))*$F28*$F$26*20))</f>
        <v/>
      </c>
      <c r="BH28" s="20">
        <f>IF(BF28="NE","~",IF(BF28="","",""))</f>
        <v/>
      </c>
      <c r="BI28" s="18" t="n"/>
      <c r="BJ28" s="19">
        <f>IF(BI28="","",IF(BI28="NE","",IF(BI28="0",0,IF(BI28="1",0.5,IF(BI28="2",1,0)))*$F28*$F$26*20))</f>
        <v/>
      </c>
      <c r="BK28" s="20">
        <f>IF(BI28="NE","~",IF(BI28="","",""))</f>
        <v/>
      </c>
      <c r="BL28" s="18" t="n"/>
      <c r="BM28" s="19">
        <f>IF(BL28="","",IF(BL28="NE","",IF(BL28="0",0,IF(BL28="1",0.5,IF(BL28="2",1,0)))*$F28*$F$26*20))</f>
        <v/>
      </c>
      <c r="BN28" s="20">
        <f>IF(BL28="NE","~",IF(BL28="","",""))</f>
        <v/>
      </c>
      <c r="BO28" s="18" t="n"/>
      <c r="BP28" s="19">
        <f>IF(BO28="","",IF(BO28="NE","",IF(BO28="0",0,IF(BO28="1",0.5,IF(BO28="2",1,0)))*$F28*$F$26*20))</f>
        <v/>
      </c>
      <c r="BQ28" s="20">
        <f>IF(BO28="NE","~",IF(BO28="","",""))</f>
        <v/>
      </c>
      <c r="BR28" s="18" t="n"/>
      <c r="BS28" s="19">
        <f>IF(BR28="","",IF(BR28="NE","",IF(BR28="0",0,IF(BR28="1",0.5,IF(BR28="2",1,0)))*$F28*$F$26*20))</f>
        <v/>
      </c>
      <c r="BT28" s="20">
        <f>IF(BR28="NE","~",IF(BR28="","",""))</f>
        <v/>
      </c>
      <c r="BU28" s="18" t="n"/>
      <c r="BV28" s="19">
        <f>IF(BU28="","",IF(BU28="NE","",IF(BU28="0",0,IF(BU28="1",0.5,IF(BU28="2",1,0)))*$F28*$F$26*20))</f>
        <v/>
      </c>
      <c r="BW28" s="20">
        <f>IF(BU28="NE","~",IF(BU28="","",""))</f>
        <v/>
      </c>
      <c r="BX28" s="18" t="n"/>
      <c r="BY28" s="19">
        <f>IF(BX28="","",IF(BX28="NE","",IF(BX28="0",0,IF(BX28="1",0.5,IF(BX28="2",1,0)))*$F28*$F$26*20))</f>
        <v/>
      </c>
      <c r="BZ28" s="20">
        <f>IF(BX28="NE","~",IF(BX28="","",""))</f>
        <v/>
      </c>
      <c r="CA28" s="18" t="n"/>
      <c r="CB28" s="19">
        <f>IF(CA28="","",IF(CA28="NE","",IF(CA28="0",0,IF(CA28="1",0.5,IF(CA28="2",1,0)))*$F28*$F$26*20))</f>
        <v/>
      </c>
      <c r="CC28" s="20">
        <f>IF(CA28="NE","~",IF(CA28="","",""))</f>
        <v/>
      </c>
      <c r="CD28" s="18" t="n"/>
      <c r="CE28" s="19">
        <f>IF(CD28="","",IF(CD28="NE","",IF(CD28="0",0,IF(CD28="1",0.5,IF(CD28="2",1,0)))*$F28*$F$26*20))</f>
        <v/>
      </c>
      <c r="CF28" s="20">
        <f>IF(CD28="NE","~",IF(CD28="","",""))</f>
        <v/>
      </c>
      <c r="CG28" s="18" t="n"/>
      <c r="CH28" s="19">
        <f>IF(CG28="","",IF(CG28="NE","",IF(CG28="0",0,IF(CG28="1",0.5,IF(CG28="2",1,0)))*$F28*$F$26*20))</f>
        <v/>
      </c>
      <c r="CI28" s="20">
        <f>IF(CG28="NE","~",IF(CG28="","",""))</f>
        <v/>
      </c>
      <c r="CJ28" s="18" t="n"/>
      <c r="CK28" s="19">
        <f>IF(CJ28="","",IF(CJ28="NE","",IF(CJ28="0",0,IF(CJ28="1",0.5,IF(CJ28="2",1,0)))*$F28*$F$26*20))</f>
        <v/>
      </c>
      <c r="CL28" s="20">
        <f>IF(CJ28="NE","~",IF(CJ28="","",""))</f>
        <v/>
      </c>
      <c r="CM28" s="18" t="n"/>
      <c r="CN28" s="19">
        <f>IF(CM28="","",IF(CM28="NE","",IF(CM28="0",0,IF(CM28="1",0.5,IF(CM28="2",1,0)))*$F28*$F$26*20))</f>
        <v/>
      </c>
      <c r="CO28" s="20">
        <f>IF(CM28="NE","~",IF(CM28="","",""))</f>
        <v/>
      </c>
      <c r="CP28" s="18" t="n"/>
      <c r="CQ28" s="19">
        <f>IF(CP28="","",IF(CP28="NE","",IF(CP28="0",0,IF(CP28="1",0.5,IF(CP28="2",1,0)))*$F28*$F$26*20))</f>
        <v/>
      </c>
      <c r="CR28" s="20">
        <f>IF(CP28="NE","~",IF(CP28="","",""))</f>
        <v/>
      </c>
    </row>
    <row r="29" ht="36" customHeight="1">
      <c r="A29" s="15" t="n">
        <v>22</v>
      </c>
      <c r="B29" s="15" t="inlineStr">
        <is>
          <t>P4</t>
        </is>
      </c>
      <c r="C29" s="15" t="inlineStr">
        <is>
          <t>Q4.1</t>
        </is>
      </c>
      <c r="D29" s="15" t="inlineStr">
        <is>
          <t>Critère</t>
        </is>
      </c>
      <c r="E29" s="16" t="inlineStr">
        <is>
          <t>Flux interne : énergie mécanique (multiplicateur → bol/vis).</t>
        </is>
      </c>
      <c r="F29" s="17" t="n">
        <v>0.15</v>
      </c>
      <c r="G29" s="18" t="n"/>
      <c r="H29" s="19">
        <f>IF(G29="","",IF(G29="NE","",IF(G29="0",0,IF(G29="1",0.5,IF(G29="2",1,0)))*$F29*$F$26*20))</f>
        <v/>
      </c>
      <c r="I29" s="20">
        <f>IF(G29="NE","~",IF(G29="","",""))</f>
        <v/>
      </c>
      <c r="J29" s="18" t="n"/>
      <c r="K29" s="19">
        <f>IF(J29="","",IF(J29="NE","",IF(J29="0",0,IF(J29="1",0.5,IF(J29="2",1,0)))*$F29*$F$26*20))</f>
        <v/>
      </c>
      <c r="L29" s="20">
        <f>IF(J29="NE","~",IF(J29="","",""))</f>
        <v/>
      </c>
      <c r="M29" s="18" t="n"/>
      <c r="N29" s="19">
        <f>IF(M29="","",IF(M29="NE","",IF(M29="0",0,IF(M29="1",0.5,IF(M29="2",1,0)))*$F29*$F$26*20))</f>
        <v/>
      </c>
      <c r="O29" s="20">
        <f>IF(M29="NE","~",IF(M29="","",""))</f>
        <v/>
      </c>
      <c r="P29" s="18" t="n"/>
      <c r="Q29" s="19">
        <f>IF(P29="","",IF(P29="NE","",IF(P29="0",0,IF(P29="1",0.5,IF(P29="2",1,0)))*$F29*$F$26*20))</f>
        <v/>
      </c>
      <c r="R29" s="20">
        <f>IF(P29="NE","~",IF(P29="","",""))</f>
        <v/>
      </c>
      <c r="S29" s="18" t="n"/>
      <c r="T29" s="19">
        <f>IF(S29="","",IF(S29="NE","",IF(S29="0",0,IF(S29="1",0.5,IF(S29="2",1,0)))*$F29*$F$26*20))</f>
        <v/>
      </c>
      <c r="U29" s="20">
        <f>IF(S29="NE","~",IF(S29="","",""))</f>
        <v/>
      </c>
      <c r="V29" s="18" t="n"/>
      <c r="W29" s="19">
        <f>IF(V29="","",IF(V29="NE","",IF(V29="0",0,IF(V29="1",0.5,IF(V29="2",1,0)))*$F29*$F$26*20))</f>
        <v/>
      </c>
      <c r="X29" s="20">
        <f>IF(V29="NE","~",IF(V29="","",""))</f>
        <v/>
      </c>
      <c r="Y29" s="18" t="n"/>
      <c r="Z29" s="19">
        <f>IF(Y29="","",IF(Y29="NE","",IF(Y29="0",0,IF(Y29="1",0.5,IF(Y29="2",1,0)))*$F29*$F$26*20))</f>
        <v/>
      </c>
      <c r="AA29" s="20">
        <f>IF(Y29="NE","~",IF(Y29="","",""))</f>
        <v/>
      </c>
      <c r="AB29" s="18" t="n"/>
      <c r="AC29" s="19">
        <f>IF(AB29="","",IF(AB29="NE","",IF(AB29="0",0,IF(AB29="1",0.5,IF(AB29="2",1,0)))*$F29*$F$26*20))</f>
        <v/>
      </c>
      <c r="AD29" s="20">
        <f>IF(AB29="NE","~",IF(AB29="","",""))</f>
        <v/>
      </c>
      <c r="AE29" s="18" t="n"/>
      <c r="AF29" s="19">
        <f>IF(AE29="","",IF(AE29="NE","",IF(AE29="0",0,IF(AE29="1",0.5,IF(AE29="2",1,0)))*$F29*$F$26*20))</f>
        <v/>
      </c>
      <c r="AG29" s="20">
        <f>IF(AE29="NE","~",IF(AE29="","",""))</f>
        <v/>
      </c>
      <c r="AH29" s="18" t="n"/>
      <c r="AI29" s="19">
        <f>IF(AH29="","",IF(AH29="NE","",IF(AH29="0",0,IF(AH29="1",0.5,IF(AH29="2",1,0)))*$F29*$F$26*20))</f>
        <v/>
      </c>
      <c r="AJ29" s="20">
        <f>IF(AH29="NE","~",IF(AH29="","",""))</f>
        <v/>
      </c>
      <c r="AK29" s="18" t="n"/>
      <c r="AL29" s="19">
        <f>IF(AK29="","",IF(AK29="NE","",IF(AK29="0",0,IF(AK29="1",0.5,IF(AK29="2",1,0)))*$F29*$F$26*20))</f>
        <v/>
      </c>
      <c r="AM29" s="20">
        <f>IF(AK29="NE","~",IF(AK29="","",""))</f>
        <v/>
      </c>
      <c r="AN29" s="18" t="n"/>
      <c r="AO29" s="19">
        <f>IF(AN29="","",IF(AN29="NE","",IF(AN29="0",0,IF(AN29="1",0.5,IF(AN29="2",1,0)))*$F29*$F$26*20))</f>
        <v/>
      </c>
      <c r="AP29" s="20">
        <f>IF(AN29="NE","~",IF(AN29="","",""))</f>
        <v/>
      </c>
      <c r="AQ29" s="18" t="n"/>
      <c r="AR29" s="19">
        <f>IF(AQ29="","",IF(AQ29="NE","",IF(AQ29="0",0,IF(AQ29="1",0.5,IF(AQ29="2",1,0)))*$F29*$F$26*20))</f>
        <v/>
      </c>
      <c r="AS29" s="20">
        <f>IF(AQ29="NE","~",IF(AQ29="","",""))</f>
        <v/>
      </c>
      <c r="AT29" s="18" t="n"/>
      <c r="AU29" s="19">
        <f>IF(AT29="","",IF(AT29="NE","",IF(AT29="0",0,IF(AT29="1",0.5,IF(AT29="2",1,0)))*$F29*$F$26*20))</f>
        <v/>
      </c>
      <c r="AV29" s="20">
        <f>IF(AT29="NE","~",IF(AT29="","",""))</f>
        <v/>
      </c>
      <c r="AW29" s="18" t="n"/>
      <c r="AX29" s="19">
        <f>IF(AW29="","",IF(AW29="NE","",IF(AW29="0",0,IF(AW29="1",0.5,IF(AW29="2",1,0)))*$F29*$F$26*20))</f>
        <v/>
      </c>
      <c r="AY29" s="20">
        <f>IF(AW29="NE","~",IF(AW29="","",""))</f>
        <v/>
      </c>
      <c r="AZ29" s="18" t="n"/>
      <c r="BA29" s="19">
        <f>IF(AZ29="","",IF(AZ29="NE","",IF(AZ29="0",0,IF(AZ29="1",0.5,IF(AZ29="2",1,0)))*$F29*$F$26*20))</f>
        <v/>
      </c>
      <c r="BB29" s="20">
        <f>IF(AZ29="NE","~",IF(AZ29="","",""))</f>
        <v/>
      </c>
      <c r="BC29" s="18" t="n"/>
      <c r="BD29" s="19">
        <f>IF(BC29="","",IF(BC29="NE","",IF(BC29="0",0,IF(BC29="1",0.5,IF(BC29="2",1,0)))*$F29*$F$26*20))</f>
        <v/>
      </c>
      <c r="BE29" s="20">
        <f>IF(BC29="NE","~",IF(BC29="","",""))</f>
        <v/>
      </c>
      <c r="BF29" s="18" t="n"/>
      <c r="BG29" s="19">
        <f>IF(BF29="","",IF(BF29="NE","",IF(BF29="0",0,IF(BF29="1",0.5,IF(BF29="2",1,0)))*$F29*$F$26*20))</f>
        <v/>
      </c>
      <c r="BH29" s="20">
        <f>IF(BF29="NE","~",IF(BF29="","",""))</f>
        <v/>
      </c>
      <c r="BI29" s="18" t="n"/>
      <c r="BJ29" s="19">
        <f>IF(BI29="","",IF(BI29="NE","",IF(BI29="0",0,IF(BI29="1",0.5,IF(BI29="2",1,0)))*$F29*$F$26*20))</f>
        <v/>
      </c>
      <c r="BK29" s="20">
        <f>IF(BI29="NE","~",IF(BI29="","",""))</f>
        <v/>
      </c>
      <c r="BL29" s="18" t="n"/>
      <c r="BM29" s="19">
        <f>IF(BL29="","",IF(BL29="NE","",IF(BL29="0",0,IF(BL29="1",0.5,IF(BL29="2",1,0)))*$F29*$F$26*20))</f>
        <v/>
      </c>
      <c r="BN29" s="20">
        <f>IF(BL29="NE","~",IF(BL29="","",""))</f>
        <v/>
      </c>
      <c r="BO29" s="18" t="n"/>
      <c r="BP29" s="19">
        <f>IF(BO29="","",IF(BO29="NE","",IF(BO29="0",0,IF(BO29="1",0.5,IF(BO29="2",1,0)))*$F29*$F$26*20))</f>
        <v/>
      </c>
      <c r="BQ29" s="20">
        <f>IF(BO29="NE","~",IF(BO29="","",""))</f>
        <v/>
      </c>
      <c r="BR29" s="18" t="n"/>
      <c r="BS29" s="19">
        <f>IF(BR29="","",IF(BR29="NE","",IF(BR29="0",0,IF(BR29="1",0.5,IF(BR29="2",1,0)))*$F29*$F$26*20))</f>
        <v/>
      </c>
      <c r="BT29" s="20">
        <f>IF(BR29="NE","~",IF(BR29="","",""))</f>
        <v/>
      </c>
      <c r="BU29" s="18" t="n"/>
      <c r="BV29" s="19">
        <f>IF(BU29="","",IF(BU29="NE","",IF(BU29="0",0,IF(BU29="1",0.5,IF(BU29="2",1,0)))*$F29*$F$26*20))</f>
        <v/>
      </c>
      <c r="BW29" s="20">
        <f>IF(BU29="NE","~",IF(BU29="","",""))</f>
        <v/>
      </c>
      <c r="BX29" s="18" t="n"/>
      <c r="BY29" s="19">
        <f>IF(BX29="","",IF(BX29="NE","",IF(BX29="0",0,IF(BX29="1",0.5,IF(BX29="2",1,0)))*$F29*$F$26*20))</f>
        <v/>
      </c>
      <c r="BZ29" s="20">
        <f>IF(BX29="NE","~",IF(BX29="","",""))</f>
        <v/>
      </c>
      <c r="CA29" s="18" t="n"/>
      <c r="CB29" s="19">
        <f>IF(CA29="","",IF(CA29="NE","",IF(CA29="0",0,IF(CA29="1",0.5,IF(CA29="2",1,0)))*$F29*$F$26*20))</f>
        <v/>
      </c>
      <c r="CC29" s="20">
        <f>IF(CA29="NE","~",IF(CA29="","",""))</f>
        <v/>
      </c>
      <c r="CD29" s="18" t="n"/>
      <c r="CE29" s="19">
        <f>IF(CD29="","",IF(CD29="NE","",IF(CD29="0",0,IF(CD29="1",0.5,IF(CD29="2",1,0)))*$F29*$F$26*20))</f>
        <v/>
      </c>
      <c r="CF29" s="20">
        <f>IF(CD29="NE","~",IF(CD29="","",""))</f>
        <v/>
      </c>
      <c r="CG29" s="18" t="n"/>
      <c r="CH29" s="19">
        <f>IF(CG29="","",IF(CG29="NE","",IF(CG29="0",0,IF(CG29="1",0.5,IF(CG29="2",1,0)))*$F29*$F$26*20))</f>
        <v/>
      </c>
      <c r="CI29" s="20">
        <f>IF(CG29="NE","~",IF(CG29="","",""))</f>
        <v/>
      </c>
      <c r="CJ29" s="18" t="n"/>
      <c r="CK29" s="19">
        <f>IF(CJ29="","",IF(CJ29="NE","",IF(CJ29="0",0,IF(CJ29="1",0.5,IF(CJ29="2",1,0)))*$F29*$F$26*20))</f>
        <v/>
      </c>
      <c r="CL29" s="20">
        <f>IF(CJ29="NE","~",IF(CJ29="","",""))</f>
        <v/>
      </c>
      <c r="CM29" s="18" t="n"/>
      <c r="CN29" s="19">
        <f>IF(CM29="","",IF(CM29="NE","",IF(CM29="0",0,IF(CM29="1",0.5,IF(CM29="2",1,0)))*$F29*$F$26*20))</f>
        <v/>
      </c>
      <c r="CO29" s="20">
        <f>IF(CM29="NE","~",IF(CM29="","",""))</f>
        <v/>
      </c>
      <c r="CP29" s="18" t="n"/>
      <c r="CQ29" s="19">
        <f>IF(CP29="","",IF(CP29="NE","",IF(CP29="0",0,IF(CP29="1",0.5,IF(CP29="2",1,0)))*$F29*$F$26*20))</f>
        <v/>
      </c>
      <c r="CR29" s="20">
        <f>IF(CP29="NE","~",IF(CP29="","",""))</f>
        <v/>
      </c>
    </row>
    <row r="30" ht="36" customHeight="1">
      <c r="A30" s="15" t="n">
        <v>23</v>
      </c>
      <c r="B30" s="15" t="inlineStr">
        <is>
          <t>P4</t>
        </is>
      </c>
      <c r="C30" s="15" t="inlineStr">
        <is>
          <t>Q4.2</t>
        </is>
      </c>
      <c r="D30" s="15" t="inlineStr">
        <is>
          <t>Critère</t>
        </is>
      </c>
      <c r="E30" s="16" t="inlineStr">
        <is>
          <t>Ω_bol = 2π × 2600/60 ≈ 272 rad/s.</t>
        </is>
      </c>
      <c r="F30" s="17" t="n">
        <v>0.15</v>
      </c>
      <c r="G30" s="18" t="n"/>
      <c r="H30" s="19">
        <f>IF(G30="","",IF(G30="NE","",IF(G30="0",0,IF(G30="1",0.5,IF(G30="2",1,0)))*$F30*$F$26*20))</f>
        <v/>
      </c>
      <c r="I30" s="20">
        <f>IF(G30="NE","~",IF(G30="","",""))</f>
        <v/>
      </c>
      <c r="J30" s="18" t="n"/>
      <c r="K30" s="19">
        <f>IF(J30="","",IF(J30="NE","",IF(J30="0",0,IF(J30="1",0.5,IF(J30="2",1,0)))*$F30*$F$26*20))</f>
        <v/>
      </c>
      <c r="L30" s="20">
        <f>IF(J30="NE","~",IF(J30="","",""))</f>
        <v/>
      </c>
      <c r="M30" s="18" t="n"/>
      <c r="N30" s="19">
        <f>IF(M30="","",IF(M30="NE","",IF(M30="0",0,IF(M30="1",0.5,IF(M30="2",1,0)))*$F30*$F$26*20))</f>
        <v/>
      </c>
      <c r="O30" s="20">
        <f>IF(M30="NE","~",IF(M30="","",""))</f>
        <v/>
      </c>
      <c r="P30" s="18" t="n"/>
      <c r="Q30" s="19">
        <f>IF(P30="","",IF(P30="NE","",IF(P30="0",0,IF(P30="1",0.5,IF(P30="2",1,0)))*$F30*$F$26*20))</f>
        <v/>
      </c>
      <c r="R30" s="20">
        <f>IF(P30="NE","~",IF(P30="","",""))</f>
        <v/>
      </c>
      <c r="S30" s="18" t="n"/>
      <c r="T30" s="19">
        <f>IF(S30="","",IF(S30="NE","",IF(S30="0",0,IF(S30="1",0.5,IF(S30="2",1,0)))*$F30*$F$26*20))</f>
        <v/>
      </c>
      <c r="U30" s="20">
        <f>IF(S30="NE","~",IF(S30="","",""))</f>
        <v/>
      </c>
      <c r="V30" s="18" t="n"/>
      <c r="W30" s="19">
        <f>IF(V30="","",IF(V30="NE","",IF(V30="0",0,IF(V30="1",0.5,IF(V30="2",1,0)))*$F30*$F$26*20))</f>
        <v/>
      </c>
      <c r="X30" s="20">
        <f>IF(V30="NE","~",IF(V30="","",""))</f>
        <v/>
      </c>
      <c r="Y30" s="18" t="n"/>
      <c r="Z30" s="19">
        <f>IF(Y30="","",IF(Y30="NE","",IF(Y30="0",0,IF(Y30="1",0.5,IF(Y30="2",1,0)))*$F30*$F$26*20))</f>
        <v/>
      </c>
      <c r="AA30" s="20">
        <f>IF(Y30="NE","~",IF(Y30="","",""))</f>
        <v/>
      </c>
      <c r="AB30" s="18" t="n"/>
      <c r="AC30" s="19">
        <f>IF(AB30="","",IF(AB30="NE","",IF(AB30="0",0,IF(AB30="1",0.5,IF(AB30="2",1,0)))*$F30*$F$26*20))</f>
        <v/>
      </c>
      <c r="AD30" s="20">
        <f>IF(AB30="NE","~",IF(AB30="","",""))</f>
        <v/>
      </c>
      <c r="AE30" s="18" t="n"/>
      <c r="AF30" s="19">
        <f>IF(AE30="","",IF(AE30="NE","",IF(AE30="0",0,IF(AE30="1",0.5,IF(AE30="2",1,0)))*$F30*$F$26*20))</f>
        <v/>
      </c>
      <c r="AG30" s="20">
        <f>IF(AE30="NE","~",IF(AE30="","",""))</f>
        <v/>
      </c>
      <c r="AH30" s="18" t="n"/>
      <c r="AI30" s="19">
        <f>IF(AH30="","",IF(AH30="NE","",IF(AH30="0",0,IF(AH30="1",0.5,IF(AH30="2",1,0)))*$F30*$F$26*20))</f>
        <v/>
      </c>
      <c r="AJ30" s="20">
        <f>IF(AH30="NE","~",IF(AH30="","",""))</f>
        <v/>
      </c>
      <c r="AK30" s="18" t="n"/>
      <c r="AL30" s="19">
        <f>IF(AK30="","",IF(AK30="NE","",IF(AK30="0",0,IF(AK30="1",0.5,IF(AK30="2",1,0)))*$F30*$F$26*20))</f>
        <v/>
      </c>
      <c r="AM30" s="20">
        <f>IF(AK30="NE","~",IF(AK30="","",""))</f>
        <v/>
      </c>
      <c r="AN30" s="18" t="n"/>
      <c r="AO30" s="19">
        <f>IF(AN30="","",IF(AN30="NE","",IF(AN30="0",0,IF(AN30="1",0.5,IF(AN30="2",1,0)))*$F30*$F$26*20))</f>
        <v/>
      </c>
      <c r="AP30" s="20">
        <f>IF(AN30="NE","~",IF(AN30="","",""))</f>
        <v/>
      </c>
      <c r="AQ30" s="18" t="n"/>
      <c r="AR30" s="19">
        <f>IF(AQ30="","",IF(AQ30="NE","",IF(AQ30="0",0,IF(AQ30="1",0.5,IF(AQ30="2",1,0)))*$F30*$F$26*20))</f>
        <v/>
      </c>
      <c r="AS30" s="20">
        <f>IF(AQ30="NE","~",IF(AQ30="","",""))</f>
        <v/>
      </c>
      <c r="AT30" s="18" t="n"/>
      <c r="AU30" s="19">
        <f>IF(AT30="","",IF(AT30="NE","",IF(AT30="0",0,IF(AT30="1",0.5,IF(AT30="2",1,0)))*$F30*$F$26*20))</f>
        <v/>
      </c>
      <c r="AV30" s="20">
        <f>IF(AT30="NE","~",IF(AT30="","",""))</f>
        <v/>
      </c>
      <c r="AW30" s="18" t="n"/>
      <c r="AX30" s="19">
        <f>IF(AW30="","",IF(AW30="NE","",IF(AW30="0",0,IF(AW30="1",0.5,IF(AW30="2",1,0)))*$F30*$F$26*20))</f>
        <v/>
      </c>
      <c r="AY30" s="20">
        <f>IF(AW30="NE","~",IF(AW30="","",""))</f>
        <v/>
      </c>
      <c r="AZ30" s="18" t="n"/>
      <c r="BA30" s="19">
        <f>IF(AZ30="","",IF(AZ30="NE","",IF(AZ30="0",0,IF(AZ30="1",0.5,IF(AZ30="2",1,0)))*$F30*$F$26*20))</f>
        <v/>
      </c>
      <c r="BB30" s="20">
        <f>IF(AZ30="NE","~",IF(AZ30="","",""))</f>
        <v/>
      </c>
      <c r="BC30" s="18" t="n"/>
      <c r="BD30" s="19">
        <f>IF(BC30="","",IF(BC30="NE","",IF(BC30="0",0,IF(BC30="1",0.5,IF(BC30="2",1,0)))*$F30*$F$26*20))</f>
        <v/>
      </c>
      <c r="BE30" s="20">
        <f>IF(BC30="NE","~",IF(BC30="","",""))</f>
        <v/>
      </c>
      <c r="BF30" s="18" t="n"/>
      <c r="BG30" s="19">
        <f>IF(BF30="","",IF(BF30="NE","",IF(BF30="0",0,IF(BF30="1",0.5,IF(BF30="2",1,0)))*$F30*$F$26*20))</f>
        <v/>
      </c>
      <c r="BH30" s="20">
        <f>IF(BF30="NE","~",IF(BF30="","",""))</f>
        <v/>
      </c>
      <c r="BI30" s="18" t="n"/>
      <c r="BJ30" s="19">
        <f>IF(BI30="","",IF(BI30="NE","",IF(BI30="0",0,IF(BI30="1",0.5,IF(BI30="2",1,0)))*$F30*$F$26*20))</f>
        <v/>
      </c>
      <c r="BK30" s="20">
        <f>IF(BI30="NE","~",IF(BI30="","",""))</f>
        <v/>
      </c>
      <c r="BL30" s="18" t="n"/>
      <c r="BM30" s="19">
        <f>IF(BL30="","",IF(BL30="NE","",IF(BL30="0",0,IF(BL30="1",0.5,IF(BL30="2",1,0)))*$F30*$F$26*20))</f>
        <v/>
      </c>
      <c r="BN30" s="20">
        <f>IF(BL30="NE","~",IF(BL30="","",""))</f>
        <v/>
      </c>
      <c r="BO30" s="18" t="n"/>
      <c r="BP30" s="19">
        <f>IF(BO30="","",IF(BO30="NE","",IF(BO30="0",0,IF(BO30="1",0.5,IF(BO30="2",1,0)))*$F30*$F$26*20))</f>
        <v/>
      </c>
      <c r="BQ30" s="20">
        <f>IF(BO30="NE","~",IF(BO30="","",""))</f>
        <v/>
      </c>
      <c r="BR30" s="18" t="n"/>
      <c r="BS30" s="19">
        <f>IF(BR30="","",IF(BR30="NE","",IF(BR30="0",0,IF(BR30="1",0.5,IF(BR30="2",1,0)))*$F30*$F$26*20))</f>
        <v/>
      </c>
      <c r="BT30" s="20">
        <f>IF(BR30="NE","~",IF(BR30="","",""))</f>
        <v/>
      </c>
      <c r="BU30" s="18" t="n"/>
      <c r="BV30" s="19">
        <f>IF(BU30="","",IF(BU30="NE","",IF(BU30="0",0,IF(BU30="1",0.5,IF(BU30="2",1,0)))*$F30*$F$26*20))</f>
        <v/>
      </c>
      <c r="BW30" s="20">
        <f>IF(BU30="NE","~",IF(BU30="","",""))</f>
        <v/>
      </c>
      <c r="BX30" s="18" t="n"/>
      <c r="BY30" s="19">
        <f>IF(BX30="","",IF(BX30="NE","",IF(BX30="0",0,IF(BX30="1",0.5,IF(BX30="2",1,0)))*$F30*$F$26*20))</f>
        <v/>
      </c>
      <c r="BZ30" s="20">
        <f>IF(BX30="NE","~",IF(BX30="","",""))</f>
        <v/>
      </c>
      <c r="CA30" s="18" t="n"/>
      <c r="CB30" s="19">
        <f>IF(CA30="","",IF(CA30="NE","",IF(CA30="0",0,IF(CA30="1",0.5,IF(CA30="2",1,0)))*$F30*$F$26*20))</f>
        <v/>
      </c>
      <c r="CC30" s="20">
        <f>IF(CA30="NE","~",IF(CA30="","",""))</f>
        <v/>
      </c>
      <c r="CD30" s="18" t="n"/>
      <c r="CE30" s="19">
        <f>IF(CD30="","",IF(CD30="NE","",IF(CD30="0",0,IF(CD30="1",0.5,IF(CD30="2",1,0)))*$F30*$F$26*20))</f>
        <v/>
      </c>
      <c r="CF30" s="20">
        <f>IF(CD30="NE","~",IF(CD30="","",""))</f>
        <v/>
      </c>
      <c r="CG30" s="18" t="n"/>
      <c r="CH30" s="19">
        <f>IF(CG30="","",IF(CG30="NE","",IF(CG30="0",0,IF(CG30="1",0.5,IF(CG30="2",1,0)))*$F30*$F$26*20))</f>
        <v/>
      </c>
      <c r="CI30" s="20">
        <f>IF(CG30="NE","~",IF(CG30="","",""))</f>
        <v/>
      </c>
      <c r="CJ30" s="18" t="n"/>
      <c r="CK30" s="19">
        <f>IF(CJ30="","",IF(CJ30="NE","",IF(CJ30="0",0,IF(CJ30="1",0.5,IF(CJ30="2",1,0)))*$F30*$F$26*20))</f>
        <v/>
      </c>
      <c r="CL30" s="20">
        <f>IF(CJ30="NE","~",IF(CJ30="","",""))</f>
        <v/>
      </c>
      <c r="CM30" s="18" t="n"/>
      <c r="CN30" s="19">
        <f>IF(CM30="","",IF(CM30="NE","",IF(CM30="0",0,IF(CM30="1",0.5,IF(CM30="2",1,0)))*$F30*$F$26*20))</f>
        <v/>
      </c>
      <c r="CO30" s="20">
        <f>IF(CM30="NE","~",IF(CM30="","",""))</f>
        <v/>
      </c>
      <c r="CP30" s="18" t="n"/>
      <c r="CQ30" s="19">
        <f>IF(CP30="","",IF(CP30="NE","",IF(CP30="0",0,IF(CP30="1",0.5,IF(CP30="2",1,0)))*$F30*$F$26*20))</f>
        <v/>
      </c>
      <c r="CR30" s="20">
        <f>IF(CP30="NE","~",IF(CP30="","",""))</f>
        <v/>
      </c>
    </row>
    <row r="31" ht="36" customHeight="1">
      <c r="A31" s="15" t="n">
        <v>24</v>
      </c>
      <c r="B31" s="15" t="inlineStr">
        <is>
          <t>P4</t>
        </is>
      </c>
      <c r="C31" s="15" t="inlineStr">
        <is>
          <t>Q4.3</t>
        </is>
      </c>
      <c r="D31" s="15" t="inlineStr">
        <is>
          <t>Critère</t>
        </is>
      </c>
      <c r="E31" s="16" t="inlineStr">
        <is>
          <t>F_cb = 1200 × 1 × 0,335 × 300² = 36 180 kN.</t>
        </is>
      </c>
      <c r="F31" s="17" t="n">
        <v>0.15</v>
      </c>
      <c r="G31" s="18" t="n"/>
      <c r="H31" s="19">
        <f>IF(G31="","",IF(G31="NE","",IF(G31="0",0,IF(G31="1",0.5,IF(G31="2",1,0)))*$F31*$F$26*20))</f>
        <v/>
      </c>
      <c r="I31" s="20">
        <f>IF(G31="NE","~",IF(G31="","",""))</f>
        <v/>
      </c>
      <c r="J31" s="18" t="n"/>
      <c r="K31" s="19">
        <f>IF(J31="","",IF(J31="NE","",IF(J31="0",0,IF(J31="1",0.5,IF(J31="2",1,0)))*$F31*$F$26*20))</f>
        <v/>
      </c>
      <c r="L31" s="20">
        <f>IF(J31="NE","~",IF(J31="","",""))</f>
        <v/>
      </c>
      <c r="M31" s="18" t="n"/>
      <c r="N31" s="19">
        <f>IF(M31="","",IF(M31="NE","",IF(M31="0",0,IF(M31="1",0.5,IF(M31="2",1,0)))*$F31*$F$26*20))</f>
        <v/>
      </c>
      <c r="O31" s="20">
        <f>IF(M31="NE","~",IF(M31="","",""))</f>
        <v/>
      </c>
      <c r="P31" s="18" t="n"/>
      <c r="Q31" s="19">
        <f>IF(P31="","",IF(P31="NE","",IF(P31="0",0,IF(P31="1",0.5,IF(P31="2",1,0)))*$F31*$F$26*20))</f>
        <v/>
      </c>
      <c r="R31" s="20">
        <f>IF(P31="NE","~",IF(P31="","",""))</f>
        <v/>
      </c>
      <c r="S31" s="18" t="n"/>
      <c r="T31" s="19">
        <f>IF(S31="","",IF(S31="NE","",IF(S31="0",0,IF(S31="1",0.5,IF(S31="2",1,0)))*$F31*$F$26*20))</f>
        <v/>
      </c>
      <c r="U31" s="20">
        <f>IF(S31="NE","~",IF(S31="","",""))</f>
        <v/>
      </c>
      <c r="V31" s="18" t="n"/>
      <c r="W31" s="19">
        <f>IF(V31="","",IF(V31="NE","",IF(V31="0",0,IF(V31="1",0.5,IF(V31="2",1,0)))*$F31*$F$26*20))</f>
        <v/>
      </c>
      <c r="X31" s="20">
        <f>IF(V31="NE","~",IF(V31="","",""))</f>
        <v/>
      </c>
      <c r="Y31" s="18" t="n"/>
      <c r="Z31" s="19">
        <f>IF(Y31="","",IF(Y31="NE","",IF(Y31="0",0,IF(Y31="1",0.5,IF(Y31="2",1,0)))*$F31*$F$26*20))</f>
        <v/>
      </c>
      <c r="AA31" s="20">
        <f>IF(Y31="NE","~",IF(Y31="","",""))</f>
        <v/>
      </c>
      <c r="AB31" s="18" t="n"/>
      <c r="AC31" s="19">
        <f>IF(AB31="","",IF(AB31="NE","",IF(AB31="0",0,IF(AB31="1",0.5,IF(AB31="2",1,0)))*$F31*$F$26*20))</f>
        <v/>
      </c>
      <c r="AD31" s="20">
        <f>IF(AB31="NE","~",IF(AB31="","",""))</f>
        <v/>
      </c>
      <c r="AE31" s="18" t="n"/>
      <c r="AF31" s="19">
        <f>IF(AE31="","",IF(AE31="NE","",IF(AE31="0",0,IF(AE31="1",0.5,IF(AE31="2",1,0)))*$F31*$F$26*20))</f>
        <v/>
      </c>
      <c r="AG31" s="20">
        <f>IF(AE31="NE","~",IF(AE31="","",""))</f>
        <v/>
      </c>
      <c r="AH31" s="18" t="n"/>
      <c r="AI31" s="19">
        <f>IF(AH31="","",IF(AH31="NE","",IF(AH31="0",0,IF(AH31="1",0.5,IF(AH31="2",1,0)))*$F31*$F$26*20))</f>
        <v/>
      </c>
      <c r="AJ31" s="20">
        <f>IF(AH31="NE","~",IF(AH31="","",""))</f>
        <v/>
      </c>
      <c r="AK31" s="18" t="n"/>
      <c r="AL31" s="19">
        <f>IF(AK31="","",IF(AK31="NE","",IF(AK31="0",0,IF(AK31="1",0.5,IF(AK31="2",1,0)))*$F31*$F$26*20))</f>
        <v/>
      </c>
      <c r="AM31" s="20">
        <f>IF(AK31="NE","~",IF(AK31="","",""))</f>
        <v/>
      </c>
      <c r="AN31" s="18" t="n"/>
      <c r="AO31" s="19">
        <f>IF(AN31="","",IF(AN31="NE","",IF(AN31="0",0,IF(AN31="1",0.5,IF(AN31="2",1,0)))*$F31*$F$26*20))</f>
        <v/>
      </c>
      <c r="AP31" s="20">
        <f>IF(AN31="NE","~",IF(AN31="","",""))</f>
        <v/>
      </c>
      <c r="AQ31" s="18" t="n"/>
      <c r="AR31" s="19">
        <f>IF(AQ31="","",IF(AQ31="NE","",IF(AQ31="0",0,IF(AQ31="1",0.5,IF(AQ31="2",1,0)))*$F31*$F$26*20))</f>
        <v/>
      </c>
      <c r="AS31" s="20">
        <f>IF(AQ31="NE","~",IF(AQ31="","",""))</f>
        <v/>
      </c>
      <c r="AT31" s="18" t="n"/>
      <c r="AU31" s="19">
        <f>IF(AT31="","",IF(AT31="NE","",IF(AT31="0",0,IF(AT31="1",0.5,IF(AT31="2",1,0)))*$F31*$F$26*20))</f>
        <v/>
      </c>
      <c r="AV31" s="20">
        <f>IF(AT31="NE","~",IF(AT31="","",""))</f>
        <v/>
      </c>
      <c r="AW31" s="18" t="n"/>
      <c r="AX31" s="19">
        <f>IF(AW31="","",IF(AW31="NE","",IF(AW31="0",0,IF(AW31="1",0.5,IF(AW31="2",1,0)))*$F31*$F$26*20))</f>
        <v/>
      </c>
      <c r="AY31" s="20">
        <f>IF(AW31="NE","~",IF(AW31="","",""))</f>
        <v/>
      </c>
      <c r="AZ31" s="18" t="n"/>
      <c r="BA31" s="19">
        <f>IF(AZ31="","",IF(AZ31="NE","",IF(AZ31="0",0,IF(AZ31="1",0.5,IF(AZ31="2",1,0)))*$F31*$F$26*20))</f>
        <v/>
      </c>
      <c r="BB31" s="20">
        <f>IF(AZ31="NE","~",IF(AZ31="","",""))</f>
        <v/>
      </c>
      <c r="BC31" s="18" t="n"/>
      <c r="BD31" s="19">
        <f>IF(BC31="","",IF(BC31="NE","",IF(BC31="0",0,IF(BC31="1",0.5,IF(BC31="2",1,0)))*$F31*$F$26*20))</f>
        <v/>
      </c>
      <c r="BE31" s="20">
        <f>IF(BC31="NE","~",IF(BC31="","",""))</f>
        <v/>
      </c>
      <c r="BF31" s="18" t="n"/>
      <c r="BG31" s="19">
        <f>IF(BF31="","",IF(BF31="NE","",IF(BF31="0",0,IF(BF31="1",0.5,IF(BF31="2",1,0)))*$F31*$F$26*20))</f>
        <v/>
      </c>
      <c r="BH31" s="20">
        <f>IF(BF31="NE","~",IF(BF31="","",""))</f>
        <v/>
      </c>
      <c r="BI31" s="18" t="n"/>
      <c r="BJ31" s="19">
        <f>IF(BI31="","",IF(BI31="NE","",IF(BI31="0",0,IF(BI31="1",0.5,IF(BI31="2",1,0)))*$F31*$F$26*20))</f>
        <v/>
      </c>
      <c r="BK31" s="20">
        <f>IF(BI31="NE","~",IF(BI31="","",""))</f>
        <v/>
      </c>
      <c r="BL31" s="18" t="n"/>
      <c r="BM31" s="19">
        <f>IF(BL31="","",IF(BL31="NE","",IF(BL31="0",0,IF(BL31="1",0.5,IF(BL31="2",1,0)))*$F31*$F$26*20))</f>
        <v/>
      </c>
      <c r="BN31" s="20">
        <f>IF(BL31="NE","~",IF(BL31="","",""))</f>
        <v/>
      </c>
      <c r="BO31" s="18" t="n"/>
      <c r="BP31" s="19">
        <f>IF(BO31="","",IF(BO31="NE","",IF(BO31="0",0,IF(BO31="1",0.5,IF(BO31="2",1,0)))*$F31*$F$26*20))</f>
        <v/>
      </c>
      <c r="BQ31" s="20">
        <f>IF(BO31="NE","~",IF(BO31="","",""))</f>
        <v/>
      </c>
      <c r="BR31" s="18" t="n"/>
      <c r="BS31" s="19">
        <f>IF(BR31="","",IF(BR31="NE","",IF(BR31="0",0,IF(BR31="1",0.5,IF(BR31="2",1,0)))*$F31*$F$26*20))</f>
        <v/>
      </c>
      <c r="BT31" s="20">
        <f>IF(BR31="NE","~",IF(BR31="","",""))</f>
        <v/>
      </c>
      <c r="BU31" s="18" t="n"/>
      <c r="BV31" s="19">
        <f>IF(BU31="","",IF(BU31="NE","",IF(BU31="0",0,IF(BU31="1",0.5,IF(BU31="2",1,0)))*$F31*$F$26*20))</f>
        <v/>
      </c>
      <c r="BW31" s="20">
        <f>IF(BU31="NE","~",IF(BU31="","",""))</f>
        <v/>
      </c>
      <c r="BX31" s="18" t="n"/>
      <c r="BY31" s="19">
        <f>IF(BX31="","",IF(BX31="NE","",IF(BX31="0",0,IF(BX31="1",0.5,IF(BX31="2",1,0)))*$F31*$F$26*20))</f>
        <v/>
      </c>
      <c r="BZ31" s="20">
        <f>IF(BX31="NE","~",IF(BX31="","",""))</f>
        <v/>
      </c>
      <c r="CA31" s="18" t="n"/>
      <c r="CB31" s="19">
        <f>IF(CA31="","",IF(CA31="NE","",IF(CA31="0",0,IF(CA31="1",0.5,IF(CA31="2",1,0)))*$F31*$F$26*20))</f>
        <v/>
      </c>
      <c r="CC31" s="20">
        <f>IF(CA31="NE","~",IF(CA31="","",""))</f>
        <v/>
      </c>
      <c r="CD31" s="18" t="n"/>
      <c r="CE31" s="19">
        <f>IF(CD31="","",IF(CD31="NE","",IF(CD31="0",0,IF(CD31="1",0.5,IF(CD31="2",1,0)))*$F31*$F$26*20))</f>
        <v/>
      </c>
      <c r="CF31" s="20">
        <f>IF(CD31="NE","~",IF(CD31="","",""))</f>
        <v/>
      </c>
      <c r="CG31" s="18" t="n"/>
      <c r="CH31" s="19">
        <f>IF(CG31="","",IF(CG31="NE","",IF(CG31="0",0,IF(CG31="1",0.5,IF(CG31="2",1,0)))*$F31*$F$26*20))</f>
        <v/>
      </c>
      <c r="CI31" s="20">
        <f>IF(CG31="NE","~",IF(CG31="","",""))</f>
        <v/>
      </c>
      <c r="CJ31" s="18" t="n"/>
      <c r="CK31" s="19">
        <f>IF(CJ31="","",IF(CJ31="NE","",IF(CJ31="0",0,IF(CJ31="1",0.5,IF(CJ31="2",1,0)))*$F31*$F$26*20))</f>
        <v/>
      </c>
      <c r="CL31" s="20">
        <f>IF(CJ31="NE","~",IF(CJ31="","",""))</f>
        <v/>
      </c>
      <c r="CM31" s="18" t="n"/>
      <c r="CN31" s="19">
        <f>IF(CM31="","",IF(CM31="NE","",IF(CM31="0",0,IF(CM31="1",0.5,IF(CM31="2",1,0)))*$F31*$F$26*20))</f>
        <v/>
      </c>
      <c r="CO31" s="20">
        <f>IF(CM31="NE","~",IF(CM31="","",""))</f>
        <v/>
      </c>
      <c r="CP31" s="18" t="n"/>
      <c r="CQ31" s="19">
        <f>IF(CP31="","",IF(CP31="NE","",IF(CP31="0",0,IF(CP31="1",0.5,IF(CP31="2",1,0)))*$F31*$F$26*20))</f>
        <v/>
      </c>
      <c r="CR31" s="20">
        <f>IF(CP31="NE","~",IF(CP31="","",""))</f>
        <v/>
      </c>
    </row>
    <row r="32" ht="36" customHeight="1">
      <c r="A32" s="15" t="n">
        <v>25</v>
      </c>
      <c r="B32" s="15" t="inlineStr">
        <is>
          <t>P4</t>
        </is>
      </c>
      <c r="C32" s="15" t="inlineStr">
        <is>
          <t>Q4.4</t>
        </is>
      </c>
      <c r="D32" s="15" t="inlineStr">
        <is>
          <t>Critère</t>
        </is>
      </c>
      <c r="E32" s="16" t="inlineStr">
        <is>
          <t>F_cb = 36 180 kN &gt; F_ce = 30 200 kN.</t>
        </is>
      </c>
      <c r="F32" s="17" t="n">
        <v>0.15</v>
      </c>
      <c r="G32" s="18" t="n"/>
      <c r="H32" s="19">
        <f>IF(G32="","",IF(G32="NE","",IF(G32="0",0,IF(G32="1",0.5,IF(G32="2",1,0)))*$F32*$F$26*20))</f>
        <v/>
      </c>
      <c r="I32" s="20">
        <f>IF(G32="NE","~",IF(G32="","",""))</f>
        <v/>
      </c>
      <c r="J32" s="18" t="n"/>
      <c r="K32" s="19">
        <f>IF(J32="","",IF(J32="NE","",IF(J32="0",0,IF(J32="1",0.5,IF(J32="2",1,0)))*$F32*$F$26*20))</f>
        <v/>
      </c>
      <c r="L32" s="20">
        <f>IF(J32="NE","~",IF(J32="","",""))</f>
        <v/>
      </c>
      <c r="M32" s="18" t="n"/>
      <c r="N32" s="19">
        <f>IF(M32="","",IF(M32="NE","",IF(M32="0",0,IF(M32="1",0.5,IF(M32="2",1,0)))*$F32*$F$26*20))</f>
        <v/>
      </c>
      <c r="O32" s="20">
        <f>IF(M32="NE","~",IF(M32="","",""))</f>
        <v/>
      </c>
      <c r="P32" s="18" t="n"/>
      <c r="Q32" s="19">
        <f>IF(P32="","",IF(P32="NE","",IF(P32="0",0,IF(P32="1",0.5,IF(P32="2",1,0)))*$F32*$F$26*20))</f>
        <v/>
      </c>
      <c r="R32" s="20">
        <f>IF(P32="NE","~",IF(P32="","",""))</f>
        <v/>
      </c>
      <c r="S32" s="18" t="n"/>
      <c r="T32" s="19">
        <f>IF(S32="","",IF(S32="NE","",IF(S32="0",0,IF(S32="1",0.5,IF(S32="2",1,0)))*$F32*$F$26*20))</f>
        <v/>
      </c>
      <c r="U32" s="20">
        <f>IF(S32="NE","~",IF(S32="","",""))</f>
        <v/>
      </c>
      <c r="V32" s="18" t="n"/>
      <c r="W32" s="19">
        <f>IF(V32="","",IF(V32="NE","",IF(V32="0",0,IF(V32="1",0.5,IF(V32="2",1,0)))*$F32*$F$26*20))</f>
        <v/>
      </c>
      <c r="X32" s="20">
        <f>IF(V32="NE","~",IF(V32="","",""))</f>
        <v/>
      </c>
      <c r="Y32" s="18" t="n"/>
      <c r="Z32" s="19">
        <f>IF(Y32="","",IF(Y32="NE","",IF(Y32="0",0,IF(Y32="1",0.5,IF(Y32="2",1,0)))*$F32*$F$26*20))</f>
        <v/>
      </c>
      <c r="AA32" s="20">
        <f>IF(Y32="NE","~",IF(Y32="","",""))</f>
        <v/>
      </c>
      <c r="AB32" s="18" t="n"/>
      <c r="AC32" s="19">
        <f>IF(AB32="","",IF(AB32="NE","",IF(AB32="0",0,IF(AB32="1",0.5,IF(AB32="2",1,0)))*$F32*$F$26*20))</f>
        <v/>
      </c>
      <c r="AD32" s="20">
        <f>IF(AB32="NE","~",IF(AB32="","",""))</f>
        <v/>
      </c>
      <c r="AE32" s="18" t="n"/>
      <c r="AF32" s="19">
        <f>IF(AE32="","",IF(AE32="NE","",IF(AE32="0",0,IF(AE32="1",0.5,IF(AE32="2",1,0)))*$F32*$F$26*20))</f>
        <v/>
      </c>
      <c r="AG32" s="20">
        <f>IF(AE32="NE","~",IF(AE32="","",""))</f>
        <v/>
      </c>
      <c r="AH32" s="18" t="n"/>
      <c r="AI32" s="19">
        <f>IF(AH32="","",IF(AH32="NE","",IF(AH32="0",0,IF(AH32="1",0.5,IF(AH32="2",1,0)))*$F32*$F$26*20))</f>
        <v/>
      </c>
      <c r="AJ32" s="20">
        <f>IF(AH32="NE","~",IF(AH32="","",""))</f>
        <v/>
      </c>
      <c r="AK32" s="18" t="n"/>
      <c r="AL32" s="19">
        <f>IF(AK32="","",IF(AK32="NE","",IF(AK32="0",0,IF(AK32="1",0.5,IF(AK32="2",1,0)))*$F32*$F$26*20))</f>
        <v/>
      </c>
      <c r="AM32" s="20">
        <f>IF(AK32="NE","~",IF(AK32="","",""))</f>
        <v/>
      </c>
      <c r="AN32" s="18" t="n"/>
      <c r="AO32" s="19">
        <f>IF(AN32="","",IF(AN32="NE","",IF(AN32="0",0,IF(AN32="1",0.5,IF(AN32="2",1,0)))*$F32*$F$26*20))</f>
        <v/>
      </c>
      <c r="AP32" s="20">
        <f>IF(AN32="NE","~",IF(AN32="","",""))</f>
        <v/>
      </c>
      <c r="AQ32" s="18" t="n"/>
      <c r="AR32" s="19">
        <f>IF(AQ32="","",IF(AQ32="NE","",IF(AQ32="0",0,IF(AQ32="1",0.5,IF(AQ32="2",1,0)))*$F32*$F$26*20))</f>
        <v/>
      </c>
      <c r="AS32" s="20">
        <f>IF(AQ32="NE","~",IF(AQ32="","",""))</f>
        <v/>
      </c>
      <c r="AT32" s="18" t="n"/>
      <c r="AU32" s="19">
        <f>IF(AT32="","",IF(AT32="NE","",IF(AT32="0",0,IF(AT32="1",0.5,IF(AT32="2",1,0)))*$F32*$F$26*20))</f>
        <v/>
      </c>
      <c r="AV32" s="20">
        <f>IF(AT32="NE","~",IF(AT32="","",""))</f>
        <v/>
      </c>
      <c r="AW32" s="18" t="n"/>
      <c r="AX32" s="19">
        <f>IF(AW32="","",IF(AW32="NE","",IF(AW32="0",0,IF(AW32="1",0.5,IF(AW32="2",1,0)))*$F32*$F$26*20))</f>
        <v/>
      </c>
      <c r="AY32" s="20">
        <f>IF(AW32="NE","~",IF(AW32="","",""))</f>
        <v/>
      </c>
      <c r="AZ32" s="18" t="n"/>
      <c r="BA32" s="19">
        <f>IF(AZ32="","",IF(AZ32="NE","",IF(AZ32="0",0,IF(AZ32="1",0.5,IF(AZ32="2",1,0)))*$F32*$F$26*20))</f>
        <v/>
      </c>
      <c r="BB32" s="20">
        <f>IF(AZ32="NE","~",IF(AZ32="","",""))</f>
        <v/>
      </c>
      <c r="BC32" s="18" t="n"/>
      <c r="BD32" s="19">
        <f>IF(BC32="","",IF(BC32="NE","",IF(BC32="0",0,IF(BC32="1",0.5,IF(BC32="2",1,0)))*$F32*$F$26*20))</f>
        <v/>
      </c>
      <c r="BE32" s="20">
        <f>IF(BC32="NE","~",IF(BC32="","",""))</f>
        <v/>
      </c>
      <c r="BF32" s="18" t="n"/>
      <c r="BG32" s="19">
        <f>IF(BF32="","",IF(BF32="NE","",IF(BF32="0",0,IF(BF32="1",0.5,IF(BF32="2",1,0)))*$F32*$F$26*20))</f>
        <v/>
      </c>
      <c r="BH32" s="20">
        <f>IF(BF32="NE","~",IF(BF32="","",""))</f>
        <v/>
      </c>
      <c r="BI32" s="18" t="n"/>
      <c r="BJ32" s="19">
        <f>IF(BI32="","",IF(BI32="NE","",IF(BI32="0",0,IF(BI32="1",0.5,IF(BI32="2",1,0)))*$F32*$F$26*20))</f>
        <v/>
      </c>
      <c r="BK32" s="20">
        <f>IF(BI32="NE","~",IF(BI32="","",""))</f>
        <v/>
      </c>
      <c r="BL32" s="18" t="n"/>
      <c r="BM32" s="19">
        <f>IF(BL32="","",IF(BL32="NE","",IF(BL32="0",0,IF(BL32="1",0.5,IF(BL32="2",1,0)))*$F32*$F$26*20))</f>
        <v/>
      </c>
      <c r="BN32" s="20">
        <f>IF(BL32="NE","~",IF(BL32="","",""))</f>
        <v/>
      </c>
      <c r="BO32" s="18" t="n"/>
      <c r="BP32" s="19">
        <f>IF(BO32="","",IF(BO32="NE","",IF(BO32="0",0,IF(BO32="1",0.5,IF(BO32="2",1,0)))*$F32*$F$26*20))</f>
        <v/>
      </c>
      <c r="BQ32" s="20">
        <f>IF(BO32="NE","~",IF(BO32="","",""))</f>
        <v/>
      </c>
      <c r="BR32" s="18" t="n"/>
      <c r="BS32" s="19">
        <f>IF(BR32="","",IF(BR32="NE","",IF(BR32="0",0,IF(BR32="1",0.5,IF(BR32="2",1,0)))*$F32*$F$26*20))</f>
        <v/>
      </c>
      <c r="BT32" s="20">
        <f>IF(BR32="NE","~",IF(BR32="","",""))</f>
        <v/>
      </c>
      <c r="BU32" s="18" t="n"/>
      <c r="BV32" s="19">
        <f>IF(BU32="","",IF(BU32="NE","",IF(BU32="0",0,IF(BU32="1",0.5,IF(BU32="2",1,0)))*$F32*$F$26*20))</f>
        <v/>
      </c>
      <c r="BW32" s="20">
        <f>IF(BU32="NE","~",IF(BU32="","",""))</f>
        <v/>
      </c>
      <c r="BX32" s="18" t="n"/>
      <c r="BY32" s="19">
        <f>IF(BX32="","",IF(BX32="NE","",IF(BX32="0",0,IF(BX32="1",0.5,IF(BX32="2",1,0)))*$F32*$F$26*20))</f>
        <v/>
      </c>
      <c r="BZ32" s="20">
        <f>IF(BX32="NE","~",IF(BX32="","",""))</f>
        <v/>
      </c>
      <c r="CA32" s="18" t="n"/>
      <c r="CB32" s="19">
        <f>IF(CA32="","",IF(CA32="NE","",IF(CA32="0",0,IF(CA32="1",0.5,IF(CA32="2",1,0)))*$F32*$F$26*20))</f>
        <v/>
      </c>
      <c r="CC32" s="20">
        <f>IF(CA32="NE","~",IF(CA32="","",""))</f>
        <v/>
      </c>
      <c r="CD32" s="18" t="n"/>
      <c r="CE32" s="19">
        <f>IF(CD32="","",IF(CD32="NE","",IF(CD32="0",0,IF(CD32="1",0.5,IF(CD32="2",1,0)))*$F32*$F$26*20))</f>
        <v/>
      </c>
      <c r="CF32" s="20">
        <f>IF(CD32="NE","~",IF(CD32="","",""))</f>
        <v/>
      </c>
      <c r="CG32" s="18" t="n"/>
      <c r="CH32" s="19">
        <f>IF(CG32="","",IF(CG32="NE","",IF(CG32="0",0,IF(CG32="1",0.5,IF(CG32="2",1,0)))*$F32*$F$26*20))</f>
        <v/>
      </c>
      <c r="CI32" s="20">
        <f>IF(CG32="NE","~",IF(CG32="","",""))</f>
        <v/>
      </c>
      <c r="CJ32" s="18" t="n"/>
      <c r="CK32" s="19">
        <f>IF(CJ32="","",IF(CJ32="NE","",IF(CJ32="0",0,IF(CJ32="1",0.5,IF(CJ32="2",1,0)))*$F32*$F$26*20))</f>
        <v/>
      </c>
      <c r="CL32" s="20">
        <f>IF(CJ32="NE","~",IF(CJ32="","",""))</f>
        <v/>
      </c>
      <c r="CM32" s="18" t="n"/>
      <c r="CN32" s="19">
        <f>IF(CM32="","",IF(CM32="NE","",IF(CM32="0",0,IF(CM32="1",0.5,IF(CM32="2",1,0)))*$F32*$F$26*20))</f>
        <v/>
      </c>
      <c r="CO32" s="20">
        <f>IF(CM32="NE","~",IF(CM32="","",""))</f>
        <v/>
      </c>
      <c r="CP32" s="18" t="n"/>
      <c r="CQ32" s="19">
        <f>IF(CP32="","",IF(CP32="NE","",IF(CP32="0",0,IF(CP32="1",0.5,IF(CP32="2",1,0)))*$F32*$F$26*20))</f>
        <v/>
      </c>
      <c r="CR32" s="20">
        <f>IF(CP32="NE","~",IF(CP32="","",""))</f>
        <v/>
      </c>
    </row>
    <row r="33" ht="36" customHeight="1">
      <c r="A33" s="15" t="n">
        <v>26</v>
      </c>
      <c r="B33" s="15" t="inlineStr">
        <is>
          <t>P4</t>
        </is>
      </c>
      <c r="C33" s="15" t="inlineStr">
        <is>
          <t>Q4.4</t>
        </is>
      </c>
      <c r="D33" s="15" t="inlineStr">
        <is>
          <t>Critère</t>
        </is>
      </c>
      <c r="E33" s="16" t="inlineStr">
        <is>
          <t>Conclusion : forces centrifuges différentes sur boue et eau → séparation possible.</t>
        </is>
      </c>
      <c r="F33" s="17" t="n">
        <v>0.1</v>
      </c>
      <c r="G33" s="18" t="n"/>
      <c r="H33" s="19">
        <f>IF(G33="","",IF(G33="NE","",IF(G33="0",0,IF(G33="1",0.5,IF(G33="2",1,0)))*$F33*$F$26*20))</f>
        <v/>
      </c>
      <c r="I33" s="20">
        <f>IF(G33="NE","~",IF(G33="","",""))</f>
        <v/>
      </c>
      <c r="J33" s="18" t="n"/>
      <c r="K33" s="19">
        <f>IF(J33="","",IF(J33="NE","",IF(J33="0",0,IF(J33="1",0.5,IF(J33="2",1,0)))*$F33*$F$26*20))</f>
        <v/>
      </c>
      <c r="L33" s="20">
        <f>IF(J33="NE","~",IF(J33="","",""))</f>
        <v/>
      </c>
      <c r="M33" s="18" t="n"/>
      <c r="N33" s="19">
        <f>IF(M33="","",IF(M33="NE","",IF(M33="0",0,IF(M33="1",0.5,IF(M33="2",1,0)))*$F33*$F$26*20))</f>
        <v/>
      </c>
      <c r="O33" s="20">
        <f>IF(M33="NE","~",IF(M33="","",""))</f>
        <v/>
      </c>
      <c r="P33" s="18" t="n"/>
      <c r="Q33" s="19">
        <f>IF(P33="","",IF(P33="NE","",IF(P33="0",0,IF(P33="1",0.5,IF(P33="2",1,0)))*$F33*$F$26*20))</f>
        <v/>
      </c>
      <c r="R33" s="20">
        <f>IF(P33="NE","~",IF(P33="","",""))</f>
        <v/>
      </c>
      <c r="S33" s="18" t="n"/>
      <c r="T33" s="19">
        <f>IF(S33="","",IF(S33="NE","",IF(S33="0",0,IF(S33="1",0.5,IF(S33="2",1,0)))*$F33*$F$26*20))</f>
        <v/>
      </c>
      <c r="U33" s="20">
        <f>IF(S33="NE","~",IF(S33="","",""))</f>
        <v/>
      </c>
      <c r="V33" s="18" t="n"/>
      <c r="W33" s="19">
        <f>IF(V33="","",IF(V33="NE","",IF(V33="0",0,IF(V33="1",0.5,IF(V33="2",1,0)))*$F33*$F$26*20))</f>
        <v/>
      </c>
      <c r="X33" s="20">
        <f>IF(V33="NE","~",IF(V33="","",""))</f>
        <v/>
      </c>
      <c r="Y33" s="18" t="n"/>
      <c r="Z33" s="19">
        <f>IF(Y33="","",IF(Y33="NE","",IF(Y33="0",0,IF(Y33="1",0.5,IF(Y33="2",1,0)))*$F33*$F$26*20))</f>
        <v/>
      </c>
      <c r="AA33" s="20">
        <f>IF(Y33="NE","~",IF(Y33="","",""))</f>
        <v/>
      </c>
      <c r="AB33" s="18" t="n"/>
      <c r="AC33" s="19">
        <f>IF(AB33="","",IF(AB33="NE","",IF(AB33="0",0,IF(AB33="1",0.5,IF(AB33="2",1,0)))*$F33*$F$26*20))</f>
        <v/>
      </c>
      <c r="AD33" s="20">
        <f>IF(AB33="NE","~",IF(AB33="","",""))</f>
        <v/>
      </c>
      <c r="AE33" s="18" t="n"/>
      <c r="AF33" s="19">
        <f>IF(AE33="","",IF(AE33="NE","",IF(AE33="0",0,IF(AE33="1",0.5,IF(AE33="2",1,0)))*$F33*$F$26*20))</f>
        <v/>
      </c>
      <c r="AG33" s="20">
        <f>IF(AE33="NE","~",IF(AE33="","",""))</f>
        <v/>
      </c>
      <c r="AH33" s="18" t="n"/>
      <c r="AI33" s="19">
        <f>IF(AH33="","",IF(AH33="NE","",IF(AH33="0",0,IF(AH33="1",0.5,IF(AH33="2",1,0)))*$F33*$F$26*20))</f>
        <v/>
      </c>
      <c r="AJ33" s="20">
        <f>IF(AH33="NE","~",IF(AH33="","",""))</f>
        <v/>
      </c>
      <c r="AK33" s="18" t="n"/>
      <c r="AL33" s="19">
        <f>IF(AK33="","",IF(AK33="NE","",IF(AK33="0",0,IF(AK33="1",0.5,IF(AK33="2",1,0)))*$F33*$F$26*20))</f>
        <v/>
      </c>
      <c r="AM33" s="20">
        <f>IF(AK33="NE","~",IF(AK33="","",""))</f>
        <v/>
      </c>
      <c r="AN33" s="18" t="n"/>
      <c r="AO33" s="19">
        <f>IF(AN33="","",IF(AN33="NE","",IF(AN33="0",0,IF(AN33="1",0.5,IF(AN33="2",1,0)))*$F33*$F$26*20))</f>
        <v/>
      </c>
      <c r="AP33" s="20">
        <f>IF(AN33="NE","~",IF(AN33="","",""))</f>
        <v/>
      </c>
      <c r="AQ33" s="18" t="n"/>
      <c r="AR33" s="19">
        <f>IF(AQ33="","",IF(AQ33="NE","",IF(AQ33="0",0,IF(AQ33="1",0.5,IF(AQ33="2",1,0)))*$F33*$F$26*20))</f>
        <v/>
      </c>
      <c r="AS33" s="20">
        <f>IF(AQ33="NE","~",IF(AQ33="","",""))</f>
        <v/>
      </c>
      <c r="AT33" s="18" t="n"/>
      <c r="AU33" s="19">
        <f>IF(AT33="","",IF(AT33="NE","",IF(AT33="0",0,IF(AT33="1",0.5,IF(AT33="2",1,0)))*$F33*$F$26*20))</f>
        <v/>
      </c>
      <c r="AV33" s="20">
        <f>IF(AT33="NE","~",IF(AT33="","",""))</f>
        <v/>
      </c>
      <c r="AW33" s="18" t="n"/>
      <c r="AX33" s="19">
        <f>IF(AW33="","",IF(AW33="NE","",IF(AW33="0",0,IF(AW33="1",0.5,IF(AW33="2",1,0)))*$F33*$F$26*20))</f>
        <v/>
      </c>
      <c r="AY33" s="20">
        <f>IF(AW33="NE","~",IF(AW33="","",""))</f>
        <v/>
      </c>
      <c r="AZ33" s="18" t="n"/>
      <c r="BA33" s="19">
        <f>IF(AZ33="","",IF(AZ33="NE","",IF(AZ33="0",0,IF(AZ33="1",0.5,IF(AZ33="2",1,0)))*$F33*$F$26*20))</f>
        <v/>
      </c>
      <c r="BB33" s="20">
        <f>IF(AZ33="NE","~",IF(AZ33="","",""))</f>
        <v/>
      </c>
      <c r="BC33" s="18" t="n"/>
      <c r="BD33" s="19">
        <f>IF(BC33="","",IF(BC33="NE","",IF(BC33="0",0,IF(BC33="1",0.5,IF(BC33="2",1,0)))*$F33*$F$26*20))</f>
        <v/>
      </c>
      <c r="BE33" s="20">
        <f>IF(BC33="NE","~",IF(BC33="","",""))</f>
        <v/>
      </c>
      <c r="BF33" s="18" t="n"/>
      <c r="BG33" s="19">
        <f>IF(BF33="","",IF(BF33="NE","",IF(BF33="0",0,IF(BF33="1",0.5,IF(BF33="2",1,0)))*$F33*$F$26*20))</f>
        <v/>
      </c>
      <c r="BH33" s="20">
        <f>IF(BF33="NE","~",IF(BF33="","",""))</f>
        <v/>
      </c>
      <c r="BI33" s="18" t="n"/>
      <c r="BJ33" s="19">
        <f>IF(BI33="","",IF(BI33="NE","",IF(BI33="0",0,IF(BI33="1",0.5,IF(BI33="2",1,0)))*$F33*$F$26*20))</f>
        <v/>
      </c>
      <c r="BK33" s="20">
        <f>IF(BI33="NE","~",IF(BI33="","",""))</f>
        <v/>
      </c>
      <c r="BL33" s="18" t="n"/>
      <c r="BM33" s="19">
        <f>IF(BL33="","",IF(BL33="NE","",IF(BL33="0",0,IF(BL33="1",0.5,IF(BL33="2",1,0)))*$F33*$F$26*20))</f>
        <v/>
      </c>
      <c r="BN33" s="20">
        <f>IF(BL33="NE","~",IF(BL33="","",""))</f>
        <v/>
      </c>
      <c r="BO33" s="18" t="n"/>
      <c r="BP33" s="19">
        <f>IF(BO33="","",IF(BO33="NE","",IF(BO33="0",0,IF(BO33="1",0.5,IF(BO33="2",1,0)))*$F33*$F$26*20))</f>
        <v/>
      </c>
      <c r="BQ33" s="20">
        <f>IF(BO33="NE","~",IF(BO33="","",""))</f>
        <v/>
      </c>
      <c r="BR33" s="18" t="n"/>
      <c r="BS33" s="19">
        <f>IF(BR33="","",IF(BR33="NE","",IF(BR33="0",0,IF(BR33="1",0.5,IF(BR33="2",1,0)))*$F33*$F$26*20))</f>
        <v/>
      </c>
      <c r="BT33" s="20">
        <f>IF(BR33="NE","~",IF(BR33="","",""))</f>
        <v/>
      </c>
      <c r="BU33" s="18" t="n"/>
      <c r="BV33" s="19">
        <f>IF(BU33="","",IF(BU33="NE","",IF(BU33="0",0,IF(BU33="1",0.5,IF(BU33="2",1,0)))*$F33*$F$26*20))</f>
        <v/>
      </c>
      <c r="BW33" s="20">
        <f>IF(BU33="NE","~",IF(BU33="","",""))</f>
        <v/>
      </c>
      <c r="BX33" s="18" t="n"/>
      <c r="BY33" s="19">
        <f>IF(BX33="","",IF(BX33="NE","",IF(BX33="0",0,IF(BX33="1",0.5,IF(BX33="2",1,0)))*$F33*$F$26*20))</f>
        <v/>
      </c>
      <c r="BZ33" s="20">
        <f>IF(BX33="NE","~",IF(BX33="","",""))</f>
        <v/>
      </c>
      <c r="CA33" s="18" t="n"/>
      <c r="CB33" s="19">
        <f>IF(CA33="","",IF(CA33="NE","",IF(CA33="0",0,IF(CA33="1",0.5,IF(CA33="2",1,0)))*$F33*$F$26*20))</f>
        <v/>
      </c>
      <c r="CC33" s="20">
        <f>IF(CA33="NE","~",IF(CA33="","",""))</f>
        <v/>
      </c>
      <c r="CD33" s="18" t="n"/>
      <c r="CE33" s="19">
        <f>IF(CD33="","",IF(CD33="NE","",IF(CD33="0",0,IF(CD33="1",0.5,IF(CD33="2",1,0)))*$F33*$F$26*20))</f>
        <v/>
      </c>
      <c r="CF33" s="20">
        <f>IF(CD33="NE","~",IF(CD33="","",""))</f>
        <v/>
      </c>
      <c r="CG33" s="18" t="n"/>
      <c r="CH33" s="19">
        <f>IF(CG33="","",IF(CG33="NE","",IF(CG33="0",0,IF(CG33="1",0.5,IF(CG33="2",1,0)))*$F33*$F$26*20))</f>
        <v/>
      </c>
      <c r="CI33" s="20">
        <f>IF(CG33="NE","~",IF(CG33="","",""))</f>
        <v/>
      </c>
      <c r="CJ33" s="18" t="n"/>
      <c r="CK33" s="19">
        <f>IF(CJ33="","",IF(CJ33="NE","",IF(CJ33="0",0,IF(CJ33="1",0.5,IF(CJ33="2",1,0)))*$F33*$F$26*20))</f>
        <v/>
      </c>
      <c r="CL33" s="20">
        <f>IF(CJ33="NE","~",IF(CJ33="","",""))</f>
        <v/>
      </c>
      <c r="CM33" s="18" t="n"/>
      <c r="CN33" s="19">
        <f>IF(CM33="","",IF(CM33="NE","",IF(CM33="0",0,IF(CM33="1",0.5,IF(CM33="2",1,0)))*$F33*$F$26*20))</f>
        <v/>
      </c>
      <c r="CO33" s="20">
        <f>IF(CM33="NE","~",IF(CM33="","",""))</f>
        <v/>
      </c>
      <c r="CP33" s="18" t="n"/>
      <c r="CQ33" s="19">
        <f>IF(CP33="","",IF(CP33="NE","",IF(CP33="0",0,IF(CP33="1",0.5,IF(CP33="2",1,0)))*$F33*$F$26*20))</f>
        <v/>
      </c>
      <c r="CR33" s="20">
        <f>IF(CP33="NE","~",IF(CP33="","",""))</f>
        <v/>
      </c>
    </row>
    <row r="34" ht="22" customHeight="1">
      <c r="A34" s="10" t="inlineStr"/>
      <c r="B34" s="11" t="inlineStr">
        <is>
          <t>P5</t>
        </is>
      </c>
      <c r="C34" s="10" t="inlineStr"/>
      <c r="D34" s="12" t="inlineStr">
        <is>
          <t>Partie</t>
        </is>
      </c>
      <c r="E34" s="13" t="inlineStr">
        <is>
          <t>Peut-on valider l'implantation d'une torchère ?</t>
        </is>
      </c>
      <c r="F34" s="14" t="n">
        <v>0.25</v>
      </c>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0" t="n"/>
      <c r="BR34" s="10" t="n"/>
      <c r="BS34" s="10" t="n"/>
      <c r="BT34" s="10" t="n"/>
      <c r="BU34" s="10" t="n"/>
      <c r="BV34" s="10" t="n"/>
      <c r="BW34" s="10" t="n"/>
      <c r="BX34" s="10" t="n"/>
      <c r="BY34" s="10" t="n"/>
      <c r="BZ34" s="10" t="n"/>
      <c r="CA34" s="10" t="n"/>
      <c r="CB34" s="10" t="n"/>
      <c r="CC34" s="10" t="n"/>
      <c r="CD34" s="10" t="n"/>
      <c r="CE34" s="10" t="n"/>
      <c r="CF34" s="10" t="n"/>
      <c r="CG34" s="10" t="n"/>
      <c r="CH34" s="10" t="n"/>
      <c r="CI34" s="10" t="n"/>
      <c r="CJ34" s="10" t="n"/>
      <c r="CK34" s="10" t="n"/>
      <c r="CL34" s="10" t="n"/>
      <c r="CM34" s="10" t="n"/>
      <c r="CN34" s="10" t="n"/>
      <c r="CO34" s="10" t="n"/>
      <c r="CP34" s="10" t="n"/>
      <c r="CQ34" s="10" t="n"/>
      <c r="CR34" s="10" t="n"/>
    </row>
    <row r="35" ht="36" customHeight="1">
      <c r="A35" s="15" t="n">
        <v>27</v>
      </c>
      <c r="B35" s="15" t="inlineStr">
        <is>
          <t>P5</t>
        </is>
      </c>
      <c r="C35" s="15" t="inlineStr">
        <is>
          <t>Q5.1</t>
        </is>
      </c>
      <c r="D35" s="15" t="inlineStr">
        <is>
          <t>Critère</t>
        </is>
      </c>
      <c r="E35" s="16" t="inlineStr">
        <is>
          <t>V = H·π·(R² − r²) avec H=7000mm, R=750mm, r=740mm → V ≈ 3,28·10⁸ mm³ = 0,328 m³.</t>
        </is>
      </c>
      <c r="F35" s="17" t="n">
        <v>0.25</v>
      </c>
      <c r="G35" s="18" t="n"/>
      <c r="H35" s="19">
        <f>IF(G35="","",IF(G35="NE","",IF(G35="0",0,IF(G35="1",0.5,IF(G35="2",1,0)))*$F35*$F$34*20))</f>
        <v/>
      </c>
      <c r="I35" s="20">
        <f>IF(G35="NE","~",IF(G35="","",""))</f>
        <v/>
      </c>
      <c r="J35" s="18" t="n"/>
      <c r="K35" s="19">
        <f>IF(J35="","",IF(J35="NE","",IF(J35="0",0,IF(J35="1",0.5,IF(J35="2",1,0)))*$F35*$F$34*20))</f>
        <v/>
      </c>
      <c r="L35" s="20">
        <f>IF(J35="NE","~",IF(J35="","",""))</f>
        <v/>
      </c>
      <c r="M35" s="18" t="n"/>
      <c r="N35" s="19">
        <f>IF(M35="","",IF(M35="NE","",IF(M35="0",0,IF(M35="1",0.5,IF(M35="2",1,0)))*$F35*$F$34*20))</f>
        <v/>
      </c>
      <c r="O35" s="20">
        <f>IF(M35="NE","~",IF(M35="","",""))</f>
        <v/>
      </c>
      <c r="P35" s="18" t="n"/>
      <c r="Q35" s="19">
        <f>IF(P35="","",IF(P35="NE","",IF(P35="0",0,IF(P35="1",0.5,IF(P35="2",1,0)))*$F35*$F$34*20))</f>
        <v/>
      </c>
      <c r="R35" s="20">
        <f>IF(P35="NE","~",IF(P35="","",""))</f>
        <v/>
      </c>
      <c r="S35" s="18" t="n"/>
      <c r="T35" s="19">
        <f>IF(S35="","",IF(S35="NE","",IF(S35="0",0,IF(S35="1",0.5,IF(S35="2",1,0)))*$F35*$F$34*20))</f>
        <v/>
      </c>
      <c r="U35" s="20">
        <f>IF(S35="NE","~",IF(S35="","",""))</f>
        <v/>
      </c>
      <c r="V35" s="18" t="n"/>
      <c r="W35" s="19">
        <f>IF(V35="","",IF(V35="NE","",IF(V35="0",0,IF(V35="1",0.5,IF(V35="2",1,0)))*$F35*$F$34*20))</f>
        <v/>
      </c>
      <c r="X35" s="20">
        <f>IF(V35="NE","~",IF(V35="","",""))</f>
        <v/>
      </c>
      <c r="Y35" s="18" t="n"/>
      <c r="Z35" s="19">
        <f>IF(Y35="","",IF(Y35="NE","",IF(Y35="0",0,IF(Y35="1",0.5,IF(Y35="2",1,0)))*$F35*$F$34*20))</f>
        <v/>
      </c>
      <c r="AA35" s="20">
        <f>IF(Y35="NE","~",IF(Y35="","",""))</f>
        <v/>
      </c>
      <c r="AB35" s="18" t="n"/>
      <c r="AC35" s="19">
        <f>IF(AB35="","",IF(AB35="NE","",IF(AB35="0",0,IF(AB35="1",0.5,IF(AB35="2",1,0)))*$F35*$F$34*20))</f>
        <v/>
      </c>
      <c r="AD35" s="20">
        <f>IF(AB35="NE","~",IF(AB35="","",""))</f>
        <v/>
      </c>
      <c r="AE35" s="18" t="n"/>
      <c r="AF35" s="19">
        <f>IF(AE35="","",IF(AE35="NE","",IF(AE35="0",0,IF(AE35="1",0.5,IF(AE35="2",1,0)))*$F35*$F$34*20))</f>
        <v/>
      </c>
      <c r="AG35" s="20">
        <f>IF(AE35="NE","~",IF(AE35="","",""))</f>
        <v/>
      </c>
      <c r="AH35" s="18" t="n"/>
      <c r="AI35" s="19">
        <f>IF(AH35="","",IF(AH35="NE","",IF(AH35="0",0,IF(AH35="1",0.5,IF(AH35="2",1,0)))*$F35*$F$34*20))</f>
        <v/>
      </c>
      <c r="AJ35" s="20">
        <f>IF(AH35="NE","~",IF(AH35="","",""))</f>
        <v/>
      </c>
      <c r="AK35" s="18" t="n"/>
      <c r="AL35" s="19">
        <f>IF(AK35="","",IF(AK35="NE","",IF(AK35="0",0,IF(AK35="1",0.5,IF(AK35="2",1,0)))*$F35*$F$34*20))</f>
        <v/>
      </c>
      <c r="AM35" s="20">
        <f>IF(AK35="NE","~",IF(AK35="","",""))</f>
        <v/>
      </c>
      <c r="AN35" s="18" t="n"/>
      <c r="AO35" s="19">
        <f>IF(AN35="","",IF(AN35="NE","",IF(AN35="0",0,IF(AN35="1",0.5,IF(AN35="2",1,0)))*$F35*$F$34*20))</f>
        <v/>
      </c>
      <c r="AP35" s="20">
        <f>IF(AN35="NE","~",IF(AN35="","",""))</f>
        <v/>
      </c>
      <c r="AQ35" s="18" t="n"/>
      <c r="AR35" s="19">
        <f>IF(AQ35="","",IF(AQ35="NE","",IF(AQ35="0",0,IF(AQ35="1",0.5,IF(AQ35="2",1,0)))*$F35*$F$34*20))</f>
        <v/>
      </c>
      <c r="AS35" s="20">
        <f>IF(AQ35="NE","~",IF(AQ35="","",""))</f>
        <v/>
      </c>
      <c r="AT35" s="18" t="n"/>
      <c r="AU35" s="19">
        <f>IF(AT35="","",IF(AT35="NE","",IF(AT35="0",0,IF(AT35="1",0.5,IF(AT35="2",1,0)))*$F35*$F$34*20))</f>
        <v/>
      </c>
      <c r="AV35" s="20">
        <f>IF(AT35="NE","~",IF(AT35="","",""))</f>
        <v/>
      </c>
      <c r="AW35" s="18" t="n"/>
      <c r="AX35" s="19">
        <f>IF(AW35="","",IF(AW35="NE","",IF(AW35="0",0,IF(AW35="1",0.5,IF(AW35="2",1,0)))*$F35*$F$34*20))</f>
        <v/>
      </c>
      <c r="AY35" s="20">
        <f>IF(AW35="NE","~",IF(AW35="","",""))</f>
        <v/>
      </c>
      <c r="AZ35" s="18" t="n"/>
      <c r="BA35" s="19">
        <f>IF(AZ35="","",IF(AZ35="NE","",IF(AZ35="0",0,IF(AZ35="1",0.5,IF(AZ35="2",1,0)))*$F35*$F$34*20))</f>
        <v/>
      </c>
      <c r="BB35" s="20">
        <f>IF(AZ35="NE","~",IF(AZ35="","",""))</f>
        <v/>
      </c>
      <c r="BC35" s="18" t="n"/>
      <c r="BD35" s="19">
        <f>IF(BC35="","",IF(BC35="NE","",IF(BC35="0",0,IF(BC35="1",0.5,IF(BC35="2",1,0)))*$F35*$F$34*20))</f>
        <v/>
      </c>
      <c r="BE35" s="20">
        <f>IF(BC35="NE","~",IF(BC35="","",""))</f>
        <v/>
      </c>
      <c r="BF35" s="18" t="n"/>
      <c r="BG35" s="19">
        <f>IF(BF35="","",IF(BF35="NE","",IF(BF35="0",0,IF(BF35="1",0.5,IF(BF35="2",1,0)))*$F35*$F$34*20))</f>
        <v/>
      </c>
      <c r="BH35" s="20">
        <f>IF(BF35="NE","~",IF(BF35="","",""))</f>
        <v/>
      </c>
      <c r="BI35" s="18" t="n"/>
      <c r="BJ35" s="19">
        <f>IF(BI35="","",IF(BI35="NE","",IF(BI35="0",0,IF(BI35="1",0.5,IF(BI35="2",1,0)))*$F35*$F$34*20))</f>
        <v/>
      </c>
      <c r="BK35" s="20">
        <f>IF(BI35="NE","~",IF(BI35="","",""))</f>
        <v/>
      </c>
      <c r="BL35" s="18" t="n"/>
      <c r="BM35" s="19">
        <f>IF(BL35="","",IF(BL35="NE","",IF(BL35="0",0,IF(BL35="1",0.5,IF(BL35="2",1,0)))*$F35*$F$34*20))</f>
        <v/>
      </c>
      <c r="BN35" s="20">
        <f>IF(BL35="NE","~",IF(BL35="","",""))</f>
        <v/>
      </c>
      <c r="BO35" s="18" t="n"/>
      <c r="BP35" s="19">
        <f>IF(BO35="","",IF(BO35="NE","",IF(BO35="0",0,IF(BO35="1",0.5,IF(BO35="2",1,0)))*$F35*$F$34*20))</f>
        <v/>
      </c>
      <c r="BQ35" s="20">
        <f>IF(BO35="NE","~",IF(BO35="","",""))</f>
        <v/>
      </c>
      <c r="BR35" s="18" t="n"/>
      <c r="BS35" s="19">
        <f>IF(BR35="","",IF(BR35="NE","",IF(BR35="0",0,IF(BR35="1",0.5,IF(BR35="2",1,0)))*$F35*$F$34*20))</f>
        <v/>
      </c>
      <c r="BT35" s="20">
        <f>IF(BR35="NE","~",IF(BR35="","",""))</f>
        <v/>
      </c>
      <c r="BU35" s="18" t="n"/>
      <c r="BV35" s="19">
        <f>IF(BU35="","",IF(BU35="NE","",IF(BU35="0",0,IF(BU35="1",0.5,IF(BU35="2",1,0)))*$F35*$F$34*20))</f>
        <v/>
      </c>
      <c r="BW35" s="20">
        <f>IF(BU35="NE","~",IF(BU35="","",""))</f>
        <v/>
      </c>
      <c r="BX35" s="18" t="n"/>
      <c r="BY35" s="19">
        <f>IF(BX35="","",IF(BX35="NE","",IF(BX35="0",0,IF(BX35="1",0.5,IF(BX35="2",1,0)))*$F35*$F$34*20))</f>
        <v/>
      </c>
      <c r="BZ35" s="20">
        <f>IF(BX35="NE","~",IF(BX35="","",""))</f>
        <v/>
      </c>
      <c r="CA35" s="18" t="n"/>
      <c r="CB35" s="19">
        <f>IF(CA35="","",IF(CA35="NE","",IF(CA35="0",0,IF(CA35="1",0.5,IF(CA35="2",1,0)))*$F35*$F$34*20))</f>
        <v/>
      </c>
      <c r="CC35" s="20">
        <f>IF(CA35="NE","~",IF(CA35="","",""))</f>
        <v/>
      </c>
      <c r="CD35" s="18" t="n"/>
      <c r="CE35" s="19">
        <f>IF(CD35="","",IF(CD35="NE","",IF(CD35="0",0,IF(CD35="1",0.5,IF(CD35="2",1,0)))*$F35*$F$34*20))</f>
        <v/>
      </c>
      <c r="CF35" s="20">
        <f>IF(CD35="NE","~",IF(CD35="","",""))</f>
        <v/>
      </c>
      <c r="CG35" s="18" t="n"/>
      <c r="CH35" s="19">
        <f>IF(CG35="","",IF(CG35="NE","",IF(CG35="0",0,IF(CG35="1",0.5,IF(CG35="2",1,0)))*$F35*$F$34*20))</f>
        <v/>
      </c>
      <c r="CI35" s="20">
        <f>IF(CG35="NE","~",IF(CG35="","",""))</f>
        <v/>
      </c>
      <c r="CJ35" s="18" t="n"/>
      <c r="CK35" s="19">
        <f>IF(CJ35="","",IF(CJ35="NE","",IF(CJ35="0",0,IF(CJ35="1",0.5,IF(CJ35="2",1,0)))*$F35*$F$34*20))</f>
        <v/>
      </c>
      <c r="CL35" s="20">
        <f>IF(CJ35="NE","~",IF(CJ35="","",""))</f>
        <v/>
      </c>
      <c r="CM35" s="18" t="n"/>
      <c r="CN35" s="19">
        <f>IF(CM35="","",IF(CM35="NE","",IF(CM35="0",0,IF(CM35="1",0.5,IF(CM35="2",1,0)))*$F35*$F$34*20))</f>
        <v/>
      </c>
      <c r="CO35" s="20">
        <f>IF(CM35="NE","~",IF(CM35="","",""))</f>
        <v/>
      </c>
      <c r="CP35" s="18" t="n"/>
      <c r="CQ35" s="19">
        <f>IF(CP35="","",IF(CP35="NE","",IF(CP35="0",0,IF(CP35="1",0.5,IF(CP35="2",1,0)))*$F35*$F$34*20))</f>
        <v/>
      </c>
      <c r="CR35" s="20">
        <f>IF(CP35="NE","~",IF(CP35="","",""))</f>
        <v/>
      </c>
    </row>
    <row r="36" ht="36" customHeight="1">
      <c r="A36" s="15" t="n">
        <v>28</v>
      </c>
      <c r="B36" s="15" t="inlineStr">
        <is>
          <t>P5</t>
        </is>
      </c>
      <c r="C36" s="15" t="inlineStr">
        <is>
          <t>Q5.2</t>
        </is>
      </c>
      <c r="D36" s="15" t="inlineStr">
        <is>
          <t>Critère</t>
        </is>
      </c>
      <c r="E36" s="16" t="inlineStr">
        <is>
          <t>Masse fût = ρ × V = 8000 × 0,328 = 2 624 kg.</t>
        </is>
      </c>
      <c r="F36" s="17" t="n">
        <v>0.2</v>
      </c>
      <c r="G36" s="18" t="n"/>
      <c r="H36" s="19">
        <f>IF(G36="","",IF(G36="NE","",IF(G36="0",0,IF(G36="1",0.5,IF(G36="2",1,0)))*$F36*$F$34*20))</f>
        <v/>
      </c>
      <c r="I36" s="20">
        <f>IF(G36="NE","~",IF(G36="","",""))</f>
        <v/>
      </c>
      <c r="J36" s="18" t="n"/>
      <c r="K36" s="19">
        <f>IF(J36="","",IF(J36="NE","",IF(J36="0",0,IF(J36="1",0.5,IF(J36="2",1,0)))*$F36*$F$34*20))</f>
        <v/>
      </c>
      <c r="L36" s="20">
        <f>IF(J36="NE","~",IF(J36="","",""))</f>
        <v/>
      </c>
      <c r="M36" s="18" t="n"/>
      <c r="N36" s="19">
        <f>IF(M36="","",IF(M36="NE","",IF(M36="0",0,IF(M36="1",0.5,IF(M36="2",1,0)))*$F36*$F$34*20))</f>
        <v/>
      </c>
      <c r="O36" s="20">
        <f>IF(M36="NE","~",IF(M36="","",""))</f>
        <v/>
      </c>
      <c r="P36" s="18" t="n"/>
      <c r="Q36" s="19">
        <f>IF(P36="","",IF(P36="NE","",IF(P36="0",0,IF(P36="1",0.5,IF(P36="2",1,0)))*$F36*$F$34*20))</f>
        <v/>
      </c>
      <c r="R36" s="20">
        <f>IF(P36="NE","~",IF(P36="","",""))</f>
        <v/>
      </c>
      <c r="S36" s="18" t="n"/>
      <c r="T36" s="19">
        <f>IF(S36="","",IF(S36="NE","",IF(S36="0",0,IF(S36="1",0.5,IF(S36="2",1,0)))*$F36*$F$34*20))</f>
        <v/>
      </c>
      <c r="U36" s="20">
        <f>IF(S36="NE","~",IF(S36="","",""))</f>
        <v/>
      </c>
      <c r="V36" s="18" t="n"/>
      <c r="W36" s="19">
        <f>IF(V36="","",IF(V36="NE","",IF(V36="0",0,IF(V36="1",0.5,IF(V36="2",1,0)))*$F36*$F$34*20))</f>
        <v/>
      </c>
      <c r="X36" s="20">
        <f>IF(V36="NE","~",IF(V36="","",""))</f>
        <v/>
      </c>
      <c r="Y36" s="18" t="n"/>
      <c r="Z36" s="19">
        <f>IF(Y36="","",IF(Y36="NE","",IF(Y36="0",0,IF(Y36="1",0.5,IF(Y36="2",1,0)))*$F36*$F$34*20))</f>
        <v/>
      </c>
      <c r="AA36" s="20">
        <f>IF(Y36="NE","~",IF(Y36="","",""))</f>
        <v/>
      </c>
      <c r="AB36" s="18" t="n"/>
      <c r="AC36" s="19">
        <f>IF(AB36="","",IF(AB36="NE","",IF(AB36="0",0,IF(AB36="1",0.5,IF(AB36="2",1,0)))*$F36*$F$34*20))</f>
        <v/>
      </c>
      <c r="AD36" s="20">
        <f>IF(AB36="NE","~",IF(AB36="","",""))</f>
        <v/>
      </c>
      <c r="AE36" s="18" t="n"/>
      <c r="AF36" s="19">
        <f>IF(AE36="","",IF(AE36="NE","",IF(AE36="0",0,IF(AE36="1",0.5,IF(AE36="2",1,0)))*$F36*$F$34*20))</f>
        <v/>
      </c>
      <c r="AG36" s="20">
        <f>IF(AE36="NE","~",IF(AE36="","",""))</f>
        <v/>
      </c>
      <c r="AH36" s="18" t="n"/>
      <c r="AI36" s="19">
        <f>IF(AH36="","",IF(AH36="NE","",IF(AH36="0",0,IF(AH36="1",0.5,IF(AH36="2",1,0)))*$F36*$F$34*20))</f>
        <v/>
      </c>
      <c r="AJ36" s="20">
        <f>IF(AH36="NE","~",IF(AH36="","",""))</f>
        <v/>
      </c>
      <c r="AK36" s="18" t="n"/>
      <c r="AL36" s="19">
        <f>IF(AK36="","",IF(AK36="NE","",IF(AK36="0",0,IF(AK36="1",0.5,IF(AK36="2",1,0)))*$F36*$F$34*20))</f>
        <v/>
      </c>
      <c r="AM36" s="20">
        <f>IF(AK36="NE","~",IF(AK36="","",""))</f>
        <v/>
      </c>
      <c r="AN36" s="18" t="n"/>
      <c r="AO36" s="19">
        <f>IF(AN36="","",IF(AN36="NE","",IF(AN36="0",0,IF(AN36="1",0.5,IF(AN36="2",1,0)))*$F36*$F$34*20))</f>
        <v/>
      </c>
      <c r="AP36" s="20">
        <f>IF(AN36="NE","~",IF(AN36="","",""))</f>
        <v/>
      </c>
      <c r="AQ36" s="18" t="n"/>
      <c r="AR36" s="19">
        <f>IF(AQ36="","",IF(AQ36="NE","",IF(AQ36="0",0,IF(AQ36="1",0.5,IF(AQ36="2",1,0)))*$F36*$F$34*20))</f>
        <v/>
      </c>
      <c r="AS36" s="20">
        <f>IF(AQ36="NE","~",IF(AQ36="","",""))</f>
        <v/>
      </c>
      <c r="AT36" s="18" t="n"/>
      <c r="AU36" s="19">
        <f>IF(AT36="","",IF(AT36="NE","",IF(AT36="0",0,IF(AT36="1",0.5,IF(AT36="2",1,0)))*$F36*$F$34*20))</f>
        <v/>
      </c>
      <c r="AV36" s="20">
        <f>IF(AT36="NE","~",IF(AT36="","",""))</f>
        <v/>
      </c>
      <c r="AW36" s="18" t="n"/>
      <c r="AX36" s="19">
        <f>IF(AW36="","",IF(AW36="NE","",IF(AW36="0",0,IF(AW36="1",0.5,IF(AW36="2",1,0)))*$F36*$F$34*20))</f>
        <v/>
      </c>
      <c r="AY36" s="20">
        <f>IF(AW36="NE","~",IF(AW36="","",""))</f>
        <v/>
      </c>
      <c r="AZ36" s="18" t="n"/>
      <c r="BA36" s="19">
        <f>IF(AZ36="","",IF(AZ36="NE","",IF(AZ36="0",0,IF(AZ36="1",0.5,IF(AZ36="2",1,0)))*$F36*$F$34*20))</f>
        <v/>
      </c>
      <c r="BB36" s="20">
        <f>IF(AZ36="NE","~",IF(AZ36="","",""))</f>
        <v/>
      </c>
      <c r="BC36" s="18" t="n"/>
      <c r="BD36" s="19">
        <f>IF(BC36="","",IF(BC36="NE","",IF(BC36="0",0,IF(BC36="1",0.5,IF(BC36="2",1,0)))*$F36*$F$34*20))</f>
        <v/>
      </c>
      <c r="BE36" s="20">
        <f>IF(BC36="NE","~",IF(BC36="","",""))</f>
        <v/>
      </c>
      <c r="BF36" s="18" t="n"/>
      <c r="BG36" s="19">
        <f>IF(BF36="","",IF(BF36="NE","",IF(BF36="0",0,IF(BF36="1",0.5,IF(BF36="2",1,0)))*$F36*$F$34*20))</f>
        <v/>
      </c>
      <c r="BH36" s="20">
        <f>IF(BF36="NE","~",IF(BF36="","",""))</f>
        <v/>
      </c>
      <c r="BI36" s="18" t="n"/>
      <c r="BJ36" s="19">
        <f>IF(BI36="","",IF(BI36="NE","",IF(BI36="0",0,IF(BI36="1",0.5,IF(BI36="2",1,0)))*$F36*$F$34*20))</f>
        <v/>
      </c>
      <c r="BK36" s="20">
        <f>IF(BI36="NE","~",IF(BI36="","",""))</f>
        <v/>
      </c>
      <c r="BL36" s="18" t="n"/>
      <c r="BM36" s="19">
        <f>IF(BL36="","",IF(BL36="NE","",IF(BL36="0",0,IF(BL36="1",0.5,IF(BL36="2",1,0)))*$F36*$F$34*20))</f>
        <v/>
      </c>
      <c r="BN36" s="20">
        <f>IF(BL36="NE","~",IF(BL36="","",""))</f>
        <v/>
      </c>
      <c r="BO36" s="18" t="n"/>
      <c r="BP36" s="19">
        <f>IF(BO36="","",IF(BO36="NE","",IF(BO36="0",0,IF(BO36="1",0.5,IF(BO36="2",1,0)))*$F36*$F$34*20))</f>
        <v/>
      </c>
      <c r="BQ36" s="20">
        <f>IF(BO36="NE","~",IF(BO36="","",""))</f>
        <v/>
      </c>
      <c r="BR36" s="18" t="n"/>
      <c r="BS36" s="19">
        <f>IF(BR36="","",IF(BR36="NE","",IF(BR36="0",0,IF(BR36="1",0.5,IF(BR36="2",1,0)))*$F36*$F$34*20))</f>
        <v/>
      </c>
      <c r="BT36" s="20">
        <f>IF(BR36="NE","~",IF(BR36="","",""))</f>
        <v/>
      </c>
      <c r="BU36" s="18" t="n"/>
      <c r="BV36" s="19">
        <f>IF(BU36="","",IF(BU36="NE","",IF(BU36="0",0,IF(BU36="1",0.5,IF(BU36="2",1,0)))*$F36*$F$34*20))</f>
        <v/>
      </c>
      <c r="BW36" s="20">
        <f>IF(BU36="NE","~",IF(BU36="","",""))</f>
        <v/>
      </c>
      <c r="BX36" s="18" t="n"/>
      <c r="BY36" s="19">
        <f>IF(BX36="","",IF(BX36="NE","",IF(BX36="0",0,IF(BX36="1",0.5,IF(BX36="2",1,0)))*$F36*$F$34*20))</f>
        <v/>
      </c>
      <c r="BZ36" s="20">
        <f>IF(BX36="NE","~",IF(BX36="","",""))</f>
        <v/>
      </c>
      <c r="CA36" s="18" t="n"/>
      <c r="CB36" s="19">
        <f>IF(CA36="","",IF(CA36="NE","",IF(CA36="0",0,IF(CA36="1",0.5,IF(CA36="2",1,0)))*$F36*$F$34*20))</f>
        <v/>
      </c>
      <c r="CC36" s="20">
        <f>IF(CA36="NE","~",IF(CA36="","",""))</f>
        <v/>
      </c>
      <c r="CD36" s="18" t="n"/>
      <c r="CE36" s="19">
        <f>IF(CD36="","",IF(CD36="NE","",IF(CD36="0",0,IF(CD36="1",0.5,IF(CD36="2",1,0)))*$F36*$F$34*20))</f>
        <v/>
      </c>
      <c r="CF36" s="20">
        <f>IF(CD36="NE","~",IF(CD36="","",""))</f>
        <v/>
      </c>
      <c r="CG36" s="18" t="n"/>
      <c r="CH36" s="19">
        <f>IF(CG36="","",IF(CG36="NE","",IF(CG36="0",0,IF(CG36="1",0.5,IF(CG36="2",1,0)))*$F36*$F$34*20))</f>
        <v/>
      </c>
      <c r="CI36" s="20">
        <f>IF(CG36="NE","~",IF(CG36="","",""))</f>
        <v/>
      </c>
      <c r="CJ36" s="18" t="n"/>
      <c r="CK36" s="19">
        <f>IF(CJ36="","",IF(CJ36="NE","",IF(CJ36="0",0,IF(CJ36="1",0.5,IF(CJ36="2",1,0)))*$F36*$F$34*20))</f>
        <v/>
      </c>
      <c r="CL36" s="20">
        <f>IF(CJ36="NE","~",IF(CJ36="","",""))</f>
        <v/>
      </c>
      <c r="CM36" s="18" t="n"/>
      <c r="CN36" s="19">
        <f>IF(CM36="","",IF(CM36="NE","",IF(CM36="0",0,IF(CM36="1",0.5,IF(CM36="2",1,0)))*$F36*$F$34*20))</f>
        <v/>
      </c>
      <c r="CO36" s="20">
        <f>IF(CM36="NE","~",IF(CM36="","",""))</f>
        <v/>
      </c>
      <c r="CP36" s="18" t="n"/>
      <c r="CQ36" s="19">
        <f>IF(CP36="","",IF(CP36="NE","",IF(CP36="0",0,IF(CP36="1",0.5,IF(CP36="2",1,0)))*$F36*$F$34*20))</f>
        <v/>
      </c>
      <c r="CR36" s="20">
        <f>IF(CP36="NE","~",IF(CP36="","",""))</f>
        <v/>
      </c>
    </row>
    <row r="37" ht="36" customHeight="1">
      <c r="A37" s="15" t="n">
        <v>29</v>
      </c>
      <c r="B37" s="15" t="inlineStr">
        <is>
          <t>P5</t>
        </is>
      </c>
      <c r="C37" s="15" t="inlineStr">
        <is>
          <t>Q5.2</t>
        </is>
      </c>
      <c r="D37" s="15" t="inlineStr">
        <is>
          <t>Critère</t>
        </is>
      </c>
      <c r="E37" s="16" t="inlineStr">
        <is>
          <t>Charge totale = 9,81 × (2624 + 1250) = 38 004 N ; P_c par cornière = 38 004/4 = 9 501 N.</t>
        </is>
      </c>
      <c r="F37" s="17" t="n">
        <v>0.2</v>
      </c>
      <c r="G37" s="18" t="n"/>
      <c r="H37" s="19">
        <f>IF(G37="","",IF(G37="NE","",IF(G37="0",0,IF(G37="1",0.5,IF(G37="2",1,0)))*$F37*$F$34*20))</f>
        <v/>
      </c>
      <c r="I37" s="20">
        <f>IF(G37="NE","~",IF(G37="","",""))</f>
        <v/>
      </c>
      <c r="J37" s="18" t="n"/>
      <c r="K37" s="19">
        <f>IF(J37="","",IF(J37="NE","",IF(J37="0",0,IF(J37="1",0.5,IF(J37="2",1,0)))*$F37*$F$34*20))</f>
        <v/>
      </c>
      <c r="L37" s="20">
        <f>IF(J37="NE","~",IF(J37="","",""))</f>
        <v/>
      </c>
      <c r="M37" s="18" t="n"/>
      <c r="N37" s="19">
        <f>IF(M37="","",IF(M37="NE","",IF(M37="0",0,IF(M37="1",0.5,IF(M37="2",1,0)))*$F37*$F$34*20))</f>
        <v/>
      </c>
      <c r="O37" s="20">
        <f>IF(M37="NE","~",IF(M37="","",""))</f>
        <v/>
      </c>
      <c r="P37" s="18" t="n"/>
      <c r="Q37" s="19">
        <f>IF(P37="","",IF(P37="NE","",IF(P37="0",0,IF(P37="1",0.5,IF(P37="2",1,0)))*$F37*$F$34*20))</f>
        <v/>
      </c>
      <c r="R37" s="20">
        <f>IF(P37="NE","~",IF(P37="","",""))</f>
        <v/>
      </c>
      <c r="S37" s="18" t="n"/>
      <c r="T37" s="19">
        <f>IF(S37="","",IF(S37="NE","",IF(S37="0",0,IF(S37="1",0.5,IF(S37="2",1,0)))*$F37*$F$34*20))</f>
        <v/>
      </c>
      <c r="U37" s="20">
        <f>IF(S37="NE","~",IF(S37="","",""))</f>
        <v/>
      </c>
      <c r="V37" s="18" t="n"/>
      <c r="W37" s="19">
        <f>IF(V37="","",IF(V37="NE","",IF(V37="0",0,IF(V37="1",0.5,IF(V37="2",1,0)))*$F37*$F$34*20))</f>
        <v/>
      </c>
      <c r="X37" s="20">
        <f>IF(V37="NE","~",IF(V37="","",""))</f>
        <v/>
      </c>
      <c r="Y37" s="18" t="n"/>
      <c r="Z37" s="19">
        <f>IF(Y37="","",IF(Y37="NE","",IF(Y37="0",0,IF(Y37="1",0.5,IF(Y37="2",1,0)))*$F37*$F$34*20))</f>
        <v/>
      </c>
      <c r="AA37" s="20">
        <f>IF(Y37="NE","~",IF(Y37="","",""))</f>
        <v/>
      </c>
      <c r="AB37" s="18" t="n"/>
      <c r="AC37" s="19">
        <f>IF(AB37="","",IF(AB37="NE","",IF(AB37="0",0,IF(AB37="1",0.5,IF(AB37="2",1,0)))*$F37*$F$34*20))</f>
        <v/>
      </c>
      <c r="AD37" s="20">
        <f>IF(AB37="NE","~",IF(AB37="","",""))</f>
        <v/>
      </c>
      <c r="AE37" s="18" t="n"/>
      <c r="AF37" s="19">
        <f>IF(AE37="","",IF(AE37="NE","",IF(AE37="0",0,IF(AE37="1",0.5,IF(AE37="2",1,0)))*$F37*$F$34*20))</f>
        <v/>
      </c>
      <c r="AG37" s="20">
        <f>IF(AE37="NE","~",IF(AE37="","",""))</f>
        <v/>
      </c>
      <c r="AH37" s="18" t="n"/>
      <c r="AI37" s="19">
        <f>IF(AH37="","",IF(AH37="NE","",IF(AH37="0",0,IF(AH37="1",0.5,IF(AH37="2",1,0)))*$F37*$F$34*20))</f>
        <v/>
      </c>
      <c r="AJ37" s="20">
        <f>IF(AH37="NE","~",IF(AH37="","",""))</f>
        <v/>
      </c>
      <c r="AK37" s="18" t="n"/>
      <c r="AL37" s="19">
        <f>IF(AK37="","",IF(AK37="NE","",IF(AK37="0",0,IF(AK37="1",0.5,IF(AK37="2",1,0)))*$F37*$F$34*20))</f>
        <v/>
      </c>
      <c r="AM37" s="20">
        <f>IF(AK37="NE","~",IF(AK37="","",""))</f>
        <v/>
      </c>
      <c r="AN37" s="18" t="n"/>
      <c r="AO37" s="19">
        <f>IF(AN37="","",IF(AN37="NE","",IF(AN37="0",0,IF(AN37="1",0.5,IF(AN37="2",1,0)))*$F37*$F$34*20))</f>
        <v/>
      </c>
      <c r="AP37" s="20">
        <f>IF(AN37="NE","~",IF(AN37="","",""))</f>
        <v/>
      </c>
      <c r="AQ37" s="18" t="n"/>
      <c r="AR37" s="19">
        <f>IF(AQ37="","",IF(AQ37="NE","",IF(AQ37="0",0,IF(AQ37="1",0.5,IF(AQ37="2",1,0)))*$F37*$F$34*20))</f>
        <v/>
      </c>
      <c r="AS37" s="20">
        <f>IF(AQ37="NE","~",IF(AQ37="","",""))</f>
        <v/>
      </c>
      <c r="AT37" s="18" t="n"/>
      <c r="AU37" s="19">
        <f>IF(AT37="","",IF(AT37="NE","",IF(AT37="0",0,IF(AT37="1",0.5,IF(AT37="2",1,0)))*$F37*$F$34*20))</f>
        <v/>
      </c>
      <c r="AV37" s="20">
        <f>IF(AT37="NE","~",IF(AT37="","",""))</f>
        <v/>
      </c>
      <c r="AW37" s="18" t="n"/>
      <c r="AX37" s="19">
        <f>IF(AW37="","",IF(AW37="NE","",IF(AW37="0",0,IF(AW37="1",0.5,IF(AW37="2",1,0)))*$F37*$F$34*20))</f>
        <v/>
      </c>
      <c r="AY37" s="20">
        <f>IF(AW37="NE","~",IF(AW37="","",""))</f>
        <v/>
      </c>
      <c r="AZ37" s="18" t="n"/>
      <c r="BA37" s="19">
        <f>IF(AZ37="","",IF(AZ37="NE","",IF(AZ37="0",0,IF(AZ37="1",0.5,IF(AZ37="2",1,0)))*$F37*$F$34*20))</f>
        <v/>
      </c>
      <c r="BB37" s="20">
        <f>IF(AZ37="NE","~",IF(AZ37="","",""))</f>
        <v/>
      </c>
      <c r="BC37" s="18" t="n"/>
      <c r="BD37" s="19">
        <f>IF(BC37="","",IF(BC37="NE","",IF(BC37="0",0,IF(BC37="1",0.5,IF(BC37="2",1,0)))*$F37*$F$34*20))</f>
        <v/>
      </c>
      <c r="BE37" s="20">
        <f>IF(BC37="NE","~",IF(BC37="","",""))</f>
        <v/>
      </c>
      <c r="BF37" s="18" t="n"/>
      <c r="BG37" s="19">
        <f>IF(BF37="","",IF(BF37="NE","",IF(BF37="0",0,IF(BF37="1",0.5,IF(BF37="2",1,0)))*$F37*$F$34*20))</f>
        <v/>
      </c>
      <c r="BH37" s="20">
        <f>IF(BF37="NE","~",IF(BF37="","",""))</f>
        <v/>
      </c>
      <c r="BI37" s="18" t="n"/>
      <c r="BJ37" s="19">
        <f>IF(BI37="","",IF(BI37="NE","",IF(BI37="0",0,IF(BI37="1",0.5,IF(BI37="2",1,0)))*$F37*$F$34*20))</f>
        <v/>
      </c>
      <c r="BK37" s="20">
        <f>IF(BI37="NE","~",IF(BI37="","",""))</f>
        <v/>
      </c>
      <c r="BL37" s="18" t="n"/>
      <c r="BM37" s="19">
        <f>IF(BL37="","",IF(BL37="NE","",IF(BL37="0",0,IF(BL37="1",0.5,IF(BL37="2",1,0)))*$F37*$F$34*20))</f>
        <v/>
      </c>
      <c r="BN37" s="20">
        <f>IF(BL37="NE","~",IF(BL37="","",""))</f>
        <v/>
      </c>
      <c r="BO37" s="18" t="n"/>
      <c r="BP37" s="19">
        <f>IF(BO37="","",IF(BO37="NE","",IF(BO37="0",0,IF(BO37="1",0.5,IF(BO37="2",1,0)))*$F37*$F$34*20))</f>
        <v/>
      </c>
      <c r="BQ37" s="20">
        <f>IF(BO37="NE","~",IF(BO37="","",""))</f>
        <v/>
      </c>
      <c r="BR37" s="18" t="n"/>
      <c r="BS37" s="19">
        <f>IF(BR37="","",IF(BR37="NE","",IF(BR37="0",0,IF(BR37="1",0.5,IF(BR37="2",1,0)))*$F37*$F$34*20))</f>
        <v/>
      </c>
      <c r="BT37" s="20">
        <f>IF(BR37="NE","~",IF(BR37="","",""))</f>
        <v/>
      </c>
      <c r="BU37" s="18" t="n"/>
      <c r="BV37" s="19">
        <f>IF(BU37="","",IF(BU37="NE","",IF(BU37="0",0,IF(BU37="1",0.5,IF(BU37="2",1,0)))*$F37*$F$34*20))</f>
        <v/>
      </c>
      <c r="BW37" s="20">
        <f>IF(BU37="NE","~",IF(BU37="","",""))</f>
        <v/>
      </c>
      <c r="BX37" s="18" t="n"/>
      <c r="BY37" s="19">
        <f>IF(BX37="","",IF(BX37="NE","",IF(BX37="0",0,IF(BX37="1",0.5,IF(BX37="2",1,0)))*$F37*$F$34*20))</f>
        <v/>
      </c>
      <c r="BZ37" s="20">
        <f>IF(BX37="NE","~",IF(BX37="","",""))</f>
        <v/>
      </c>
      <c r="CA37" s="18" t="n"/>
      <c r="CB37" s="19">
        <f>IF(CA37="","",IF(CA37="NE","",IF(CA37="0",0,IF(CA37="1",0.5,IF(CA37="2",1,0)))*$F37*$F$34*20))</f>
        <v/>
      </c>
      <c r="CC37" s="20">
        <f>IF(CA37="NE","~",IF(CA37="","",""))</f>
        <v/>
      </c>
      <c r="CD37" s="18" t="n"/>
      <c r="CE37" s="19">
        <f>IF(CD37="","",IF(CD37="NE","",IF(CD37="0",0,IF(CD37="1",0.5,IF(CD37="2",1,0)))*$F37*$F$34*20))</f>
        <v/>
      </c>
      <c r="CF37" s="20">
        <f>IF(CD37="NE","~",IF(CD37="","",""))</f>
        <v/>
      </c>
      <c r="CG37" s="18" t="n"/>
      <c r="CH37" s="19">
        <f>IF(CG37="","",IF(CG37="NE","",IF(CG37="0",0,IF(CG37="1",0.5,IF(CG37="2",1,0)))*$F37*$F$34*20))</f>
        <v/>
      </c>
      <c r="CI37" s="20">
        <f>IF(CG37="NE","~",IF(CG37="","",""))</f>
        <v/>
      </c>
      <c r="CJ37" s="18" t="n"/>
      <c r="CK37" s="19">
        <f>IF(CJ37="","",IF(CJ37="NE","",IF(CJ37="0",0,IF(CJ37="1",0.5,IF(CJ37="2",1,0)))*$F37*$F$34*20))</f>
        <v/>
      </c>
      <c r="CL37" s="20">
        <f>IF(CJ37="NE","~",IF(CJ37="","",""))</f>
        <v/>
      </c>
      <c r="CM37" s="18" t="n"/>
      <c r="CN37" s="19">
        <f>IF(CM37="","",IF(CM37="NE","",IF(CM37="0",0,IF(CM37="1",0.5,IF(CM37="2",1,0)))*$F37*$F$34*20))</f>
        <v/>
      </c>
      <c r="CO37" s="20">
        <f>IF(CM37="NE","~",IF(CM37="","",""))</f>
        <v/>
      </c>
      <c r="CP37" s="18" t="n"/>
      <c r="CQ37" s="19">
        <f>IF(CP37="","",IF(CP37="NE","",IF(CP37="0",0,IF(CP37="1",0.5,IF(CP37="2",1,0)))*$F37*$F$34*20))</f>
        <v/>
      </c>
      <c r="CR37" s="20">
        <f>IF(CP37="NE","~",IF(CP37="","",""))</f>
        <v/>
      </c>
    </row>
    <row r="38" ht="36" customHeight="1">
      <c r="A38" s="15" t="n">
        <v>30</v>
      </c>
      <c r="B38" s="15" t="inlineStr">
        <is>
          <t>P5</t>
        </is>
      </c>
      <c r="C38" s="15" t="inlineStr">
        <is>
          <t>Q5.3</t>
        </is>
      </c>
      <c r="D38" s="15" t="inlineStr">
        <is>
          <t>Critère</t>
        </is>
      </c>
      <c r="E38" s="16" t="inlineStr">
        <is>
          <t>Surface dalle = 4 × 2,5 = 10 m².</t>
        </is>
      </c>
      <c r="F38" s="17" t="n">
        <v>0.05</v>
      </c>
      <c r="G38" s="18" t="n"/>
      <c r="H38" s="19">
        <f>IF(G38="","",IF(G38="NE","",IF(G38="0",0,IF(G38="1",0.5,IF(G38="2",1,0)))*$F38*$F$34*20))</f>
        <v/>
      </c>
      <c r="I38" s="20">
        <f>IF(G38="NE","~",IF(G38="","",""))</f>
        <v/>
      </c>
      <c r="J38" s="18" t="n"/>
      <c r="K38" s="19">
        <f>IF(J38="","",IF(J38="NE","",IF(J38="0",0,IF(J38="1",0.5,IF(J38="2",1,0)))*$F38*$F$34*20))</f>
        <v/>
      </c>
      <c r="L38" s="20">
        <f>IF(J38="NE","~",IF(J38="","",""))</f>
        <v/>
      </c>
      <c r="M38" s="18" t="n"/>
      <c r="N38" s="19">
        <f>IF(M38="","",IF(M38="NE","",IF(M38="0",0,IF(M38="1",0.5,IF(M38="2",1,0)))*$F38*$F$34*20))</f>
        <v/>
      </c>
      <c r="O38" s="20">
        <f>IF(M38="NE","~",IF(M38="","",""))</f>
        <v/>
      </c>
      <c r="P38" s="18" t="n"/>
      <c r="Q38" s="19">
        <f>IF(P38="","",IF(P38="NE","",IF(P38="0",0,IF(P38="1",0.5,IF(P38="2",1,0)))*$F38*$F$34*20))</f>
        <v/>
      </c>
      <c r="R38" s="20">
        <f>IF(P38="NE","~",IF(P38="","",""))</f>
        <v/>
      </c>
      <c r="S38" s="18" t="n"/>
      <c r="T38" s="19">
        <f>IF(S38="","",IF(S38="NE","",IF(S38="0",0,IF(S38="1",0.5,IF(S38="2",1,0)))*$F38*$F$34*20))</f>
        <v/>
      </c>
      <c r="U38" s="20">
        <f>IF(S38="NE","~",IF(S38="","",""))</f>
        <v/>
      </c>
      <c r="V38" s="18" t="n"/>
      <c r="W38" s="19">
        <f>IF(V38="","",IF(V38="NE","",IF(V38="0",0,IF(V38="1",0.5,IF(V38="2",1,0)))*$F38*$F$34*20))</f>
        <v/>
      </c>
      <c r="X38" s="20">
        <f>IF(V38="NE","~",IF(V38="","",""))</f>
        <v/>
      </c>
      <c r="Y38" s="18" t="n"/>
      <c r="Z38" s="19">
        <f>IF(Y38="","",IF(Y38="NE","",IF(Y38="0",0,IF(Y38="1",0.5,IF(Y38="2",1,0)))*$F38*$F$34*20))</f>
        <v/>
      </c>
      <c r="AA38" s="20">
        <f>IF(Y38="NE","~",IF(Y38="","",""))</f>
        <v/>
      </c>
      <c r="AB38" s="18" t="n"/>
      <c r="AC38" s="19">
        <f>IF(AB38="","",IF(AB38="NE","",IF(AB38="0",0,IF(AB38="1",0.5,IF(AB38="2",1,0)))*$F38*$F$34*20))</f>
        <v/>
      </c>
      <c r="AD38" s="20">
        <f>IF(AB38="NE","~",IF(AB38="","",""))</f>
        <v/>
      </c>
      <c r="AE38" s="18" t="n"/>
      <c r="AF38" s="19">
        <f>IF(AE38="","",IF(AE38="NE","",IF(AE38="0",0,IF(AE38="1",0.5,IF(AE38="2",1,0)))*$F38*$F$34*20))</f>
        <v/>
      </c>
      <c r="AG38" s="20">
        <f>IF(AE38="NE","~",IF(AE38="","",""))</f>
        <v/>
      </c>
      <c r="AH38" s="18" t="n"/>
      <c r="AI38" s="19">
        <f>IF(AH38="","",IF(AH38="NE","",IF(AH38="0",0,IF(AH38="1",0.5,IF(AH38="2",1,0)))*$F38*$F$34*20))</f>
        <v/>
      </c>
      <c r="AJ38" s="20">
        <f>IF(AH38="NE","~",IF(AH38="","",""))</f>
        <v/>
      </c>
      <c r="AK38" s="18" t="n"/>
      <c r="AL38" s="19">
        <f>IF(AK38="","",IF(AK38="NE","",IF(AK38="0",0,IF(AK38="1",0.5,IF(AK38="2",1,0)))*$F38*$F$34*20))</f>
        <v/>
      </c>
      <c r="AM38" s="20">
        <f>IF(AK38="NE","~",IF(AK38="","",""))</f>
        <v/>
      </c>
      <c r="AN38" s="18" t="n"/>
      <c r="AO38" s="19">
        <f>IF(AN38="","",IF(AN38="NE","",IF(AN38="0",0,IF(AN38="1",0.5,IF(AN38="2",1,0)))*$F38*$F$34*20))</f>
        <v/>
      </c>
      <c r="AP38" s="20">
        <f>IF(AN38="NE","~",IF(AN38="","",""))</f>
        <v/>
      </c>
      <c r="AQ38" s="18" t="n"/>
      <c r="AR38" s="19">
        <f>IF(AQ38="","",IF(AQ38="NE","",IF(AQ38="0",0,IF(AQ38="1",0.5,IF(AQ38="2",1,0)))*$F38*$F$34*20))</f>
        <v/>
      </c>
      <c r="AS38" s="20">
        <f>IF(AQ38="NE","~",IF(AQ38="","",""))</f>
        <v/>
      </c>
      <c r="AT38" s="18" t="n"/>
      <c r="AU38" s="19">
        <f>IF(AT38="","",IF(AT38="NE","",IF(AT38="0",0,IF(AT38="1",0.5,IF(AT38="2",1,0)))*$F38*$F$34*20))</f>
        <v/>
      </c>
      <c r="AV38" s="20">
        <f>IF(AT38="NE","~",IF(AT38="","",""))</f>
        <v/>
      </c>
      <c r="AW38" s="18" t="n"/>
      <c r="AX38" s="19">
        <f>IF(AW38="","",IF(AW38="NE","",IF(AW38="0",0,IF(AW38="1",0.5,IF(AW38="2",1,0)))*$F38*$F$34*20))</f>
        <v/>
      </c>
      <c r="AY38" s="20">
        <f>IF(AW38="NE","~",IF(AW38="","",""))</f>
        <v/>
      </c>
      <c r="AZ38" s="18" t="n"/>
      <c r="BA38" s="19">
        <f>IF(AZ38="","",IF(AZ38="NE","",IF(AZ38="0",0,IF(AZ38="1",0.5,IF(AZ38="2",1,0)))*$F38*$F$34*20))</f>
        <v/>
      </c>
      <c r="BB38" s="20">
        <f>IF(AZ38="NE","~",IF(AZ38="","",""))</f>
        <v/>
      </c>
      <c r="BC38" s="18" t="n"/>
      <c r="BD38" s="19">
        <f>IF(BC38="","",IF(BC38="NE","",IF(BC38="0",0,IF(BC38="1",0.5,IF(BC38="2",1,0)))*$F38*$F$34*20))</f>
        <v/>
      </c>
      <c r="BE38" s="20">
        <f>IF(BC38="NE","~",IF(BC38="","",""))</f>
        <v/>
      </c>
      <c r="BF38" s="18" t="n"/>
      <c r="BG38" s="19">
        <f>IF(BF38="","",IF(BF38="NE","",IF(BF38="0",0,IF(BF38="1",0.5,IF(BF38="2",1,0)))*$F38*$F$34*20))</f>
        <v/>
      </c>
      <c r="BH38" s="20">
        <f>IF(BF38="NE","~",IF(BF38="","",""))</f>
        <v/>
      </c>
      <c r="BI38" s="18" t="n"/>
      <c r="BJ38" s="19">
        <f>IF(BI38="","",IF(BI38="NE","",IF(BI38="0",0,IF(BI38="1",0.5,IF(BI38="2",1,0)))*$F38*$F$34*20))</f>
        <v/>
      </c>
      <c r="BK38" s="20">
        <f>IF(BI38="NE","~",IF(BI38="","",""))</f>
        <v/>
      </c>
      <c r="BL38" s="18" t="n"/>
      <c r="BM38" s="19">
        <f>IF(BL38="","",IF(BL38="NE","",IF(BL38="0",0,IF(BL38="1",0.5,IF(BL38="2",1,0)))*$F38*$F$34*20))</f>
        <v/>
      </c>
      <c r="BN38" s="20">
        <f>IF(BL38="NE","~",IF(BL38="","",""))</f>
        <v/>
      </c>
      <c r="BO38" s="18" t="n"/>
      <c r="BP38" s="19">
        <f>IF(BO38="","",IF(BO38="NE","",IF(BO38="0",0,IF(BO38="1",0.5,IF(BO38="2",1,0)))*$F38*$F$34*20))</f>
        <v/>
      </c>
      <c r="BQ38" s="20">
        <f>IF(BO38="NE","~",IF(BO38="","",""))</f>
        <v/>
      </c>
      <c r="BR38" s="18" t="n"/>
      <c r="BS38" s="19">
        <f>IF(BR38="","",IF(BR38="NE","",IF(BR38="0",0,IF(BR38="1",0.5,IF(BR38="2",1,0)))*$F38*$F$34*20))</f>
        <v/>
      </c>
      <c r="BT38" s="20">
        <f>IF(BR38="NE","~",IF(BR38="","",""))</f>
        <v/>
      </c>
      <c r="BU38" s="18" t="n"/>
      <c r="BV38" s="19">
        <f>IF(BU38="","",IF(BU38="NE","",IF(BU38="0",0,IF(BU38="1",0.5,IF(BU38="2",1,0)))*$F38*$F$34*20))</f>
        <v/>
      </c>
      <c r="BW38" s="20">
        <f>IF(BU38="NE","~",IF(BU38="","",""))</f>
        <v/>
      </c>
      <c r="BX38" s="18" t="n"/>
      <c r="BY38" s="19">
        <f>IF(BX38="","",IF(BX38="NE","",IF(BX38="0",0,IF(BX38="1",0.5,IF(BX38="2",1,0)))*$F38*$F$34*20))</f>
        <v/>
      </c>
      <c r="BZ38" s="20">
        <f>IF(BX38="NE","~",IF(BX38="","",""))</f>
        <v/>
      </c>
      <c r="CA38" s="18" t="n"/>
      <c r="CB38" s="19">
        <f>IF(CA38="","",IF(CA38="NE","",IF(CA38="0",0,IF(CA38="1",0.5,IF(CA38="2",1,0)))*$F38*$F$34*20))</f>
        <v/>
      </c>
      <c r="CC38" s="20">
        <f>IF(CA38="NE","~",IF(CA38="","",""))</f>
        <v/>
      </c>
      <c r="CD38" s="18" t="n"/>
      <c r="CE38" s="19">
        <f>IF(CD38="","",IF(CD38="NE","",IF(CD38="0",0,IF(CD38="1",0.5,IF(CD38="2",1,0)))*$F38*$F$34*20))</f>
        <v/>
      </c>
      <c r="CF38" s="20">
        <f>IF(CD38="NE","~",IF(CD38="","",""))</f>
        <v/>
      </c>
      <c r="CG38" s="18" t="n"/>
      <c r="CH38" s="19">
        <f>IF(CG38="","",IF(CG38="NE","",IF(CG38="0",0,IF(CG38="1",0.5,IF(CG38="2",1,0)))*$F38*$F$34*20))</f>
        <v/>
      </c>
      <c r="CI38" s="20">
        <f>IF(CG38="NE","~",IF(CG38="","",""))</f>
        <v/>
      </c>
      <c r="CJ38" s="18" t="n"/>
      <c r="CK38" s="19">
        <f>IF(CJ38="","",IF(CJ38="NE","",IF(CJ38="0",0,IF(CJ38="1",0.5,IF(CJ38="2",1,0)))*$F38*$F$34*20))</f>
        <v/>
      </c>
      <c r="CL38" s="20">
        <f>IF(CJ38="NE","~",IF(CJ38="","",""))</f>
        <v/>
      </c>
      <c r="CM38" s="18" t="n"/>
      <c r="CN38" s="19">
        <f>IF(CM38="","",IF(CM38="NE","",IF(CM38="0",0,IF(CM38="1",0.5,IF(CM38="2",1,0)))*$F38*$F$34*20))</f>
        <v/>
      </c>
      <c r="CO38" s="20">
        <f>IF(CM38="NE","~",IF(CM38="","",""))</f>
        <v/>
      </c>
      <c r="CP38" s="18" t="n"/>
      <c r="CQ38" s="19">
        <f>IF(CP38="","",IF(CP38="NE","",IF(CP38="0",0,IF(CP38="1",0.5,IF(CP38="2",1,0)))*$F38*$F$34*20))</f>
        <v/>
      </c>
      <c r="CR38" s="20">
        <f>IF(CP38="NE","~",IF(CP38="","",""))</f>
        <v/>
      </c>
    </row>
    <row r="39" ht="36" customHeight="1">
      <c r="A39" s="15" t="n">
        <v>31</v>
      </c>
      <c r="B39" s="15" t="inlineStr">
        <is>
          <t>P5</t>
        </is>
      </c>
      <c r="C39" s="15" t="inlineStr">
        <is>
          <t>Q5.3</t>
        </is>
      </c>
      <c r="D39" s="15" t="inlineStr">
        <is>
          <t>Critère</t>
        </is>
      </c>
      <c r="E39" s="16" t="inlineStr">
        <is>
          <t>σ_sol = 200 000 / 10 = 20 000 Pa = 0,02 MPa.</t>
        </is>
      </c>
      <c r="F39" s="17" t="n">
        <v>0.05</v>
      </c>
      <c r="G39" s="18" t="n"/>
      <c r="H39" s="19">
        <f>IF(G39="","",IF(G39="NE","",IF(G39="0",0,IF(G39="1",0.5,IF(G39="2",1,0)))*$F39*$F$34*20))</f>
        <v/>
      </c>
      <c r="I39" s="20">
        <f>IF(G39="NE","~",IF(G39="","",""))</f>
        <v/>
      </c>
      <c r="J39" s="18" t="n"/>
      <c r="K39" s="19">
        <f>IF(J39="","",IF(J39="NE","",IF(J39="0",0,IF(J39="1",0.5,IF(J39="2",1,0)))*$F39*$F$34*20))</f>
        <v/>
      </c>
      <c r="L39" s="20">
        <f>IF(J39="NE","~",IF(J39="","",""))</f>
        <v/>
      </c>
      <c r="M39" s="18" t="n"/>
      <c r="N39" s="19">
        <f>IF(M39="","",IF(M39="NE","",IF(M39="0",0,IF(M39="1",0.5,IF(M39="2",1,0)))*$F39*$F$34*20))</f>
        <v/>
      </c>
      <c r="O39" s="20">
        <f>IF(M39="NE","~",IF(M39="","",""))</f>
        <v/>
      </c>
      <c r="P39" s="18" t="n"/>
      <c r="Q39" s="19">
        <f>IF(P39="","",IF(P39="NE","",IF(P39="0",0,IF(P39="1",0.5,IF(P39="2",1,0)))*$F39*$F$34*20))</f>
        <v/>
      </c>
      <c r="R39" s="20">
        <f>IF(P39="NE","~",IF(P39="","",""))</f>
        <v/>
      </c>
      <c r="S39" s="18" t="n"/>
      <c r="T39" s="19">
        <f>IF(S39="","",IF(S39="NE","",IF(S39="0",0,IF(S39="1",0.5,IF(S39="2",1,0)))*$F39*$F$34*20))</f>
        <v/>
      </c>
      <c r="U39" s="20">
        <f>IF(S39="NE","~",IF(S39="","",""))</f>
        <v/>
      </c>
      <c r="V39" s="18" t="n"/>
      <c r="W39" s="19">
        <f>IF(V39="","",IF(V39="NE","",IF(V39="0",0,IF(V39="1",0.5,IF(V39="2",1,0)))*$F39*$F$34*20))</f>
        <v/>
      </c>
      <c r="X39" s="20">
        <f>IF(V39="NE","~",IF(V39="","",""))</f>
        <v/>
      </c>
      <c r="Y39" s="18" t="n"/>
      <c r="Z39" s="19">
        <f>IF(Y39="","",IF(Y39="NE","",IF(Y39="0",0,IF(Y39="1",0.5,IF(Y39="2",1,0)))*$F39*$F$34*20))</f>
        <v/>
      </c>
      <c r="AA39" s="20">
        <f>IF(Y39="NE","~",IF(Y39="","",""))</f>
        <v/>
      </c>
      <c r="AB39" s="18" t="n"/>
      <c r="AC39" s="19">
        <f>IF(AB39="","",IF(AB39="NE","",IF(AB39="0",0,IF(AB39="1",0.5,IF(AB39="2",1,0)))*$F39*$F$34*20))</f>
        <v/>
      </c>
      <c r="AD39" s="20">
        <f>IF(AB39="NE","~",IF(AB39="","",""))</f>
        <v/>
      </c>
      <c r="AE39" s="18" t="n"/>
      <c r="AF39" s="19">
        <f>IF(AE39="","",IF(AE39="NE","",IF(AE39="0",0,IF(AE39="1",0.5,IF(AE39="2",1,0)))*$F39*$F$34*20))</f>
        <v/>
      </c>
      <c r="AG39" s="20">
        <f>IF(AE39="NE","~",IF(AE39="","",""))</f>
        <v/>
      </c>
      <c r="AH39" s="18" t="n"/>
      <c r="AI39" s="19">
        <f>IF(AH39="","",IF(AH39="NE","",IF(AH39="0",0,IF(AH39="1",0.5,IF(AH39="2",1,0)))*$F39*$F$34*20))</f>
        <v/>
      </c>
      <c r="AJ39" s="20">
        <f>IF(AH39="NE","~",IF(AH39="","",""))</f>
        <v/>
      </c>
      <c r="AK39" s="18" t="n"/>
      <c r="AL39" s="19">
        <f>IF(AK39="","",IF(AK39="NE","",IF(AK39="0",0,IF(AK39="1",0.5,IF(AK39="2",1,0)))*$F39*$F$34*20))</f>
        <v/>
      </c>
      <c r="AM39" s="20">
        <f>IF(AK39="NE","~",IF(AK39="","",""))</f>
        <v/>
      </c>
      <c r="AN39" s="18" t="n"/>
      <c r="AO39" s="19">
        <f>IF(AN39="","",IF(AN39="NE","",IF(AN39="0",0,IF(AN39="1",0.5,IF(AN39="2",1,0)))*$F39*$F$34*20))</f>
        <v/>
      </c>
      <c r="AP39" s="20">
        <f>IF(AN39="NE","~",IF(AN39="","",""))</f>
        <v/>
      </c>
      <c r="AQ39" s="18" t="n"/>
      <c r="AR39" s="19">
        <f>IF(AQ39="","",IF(AQ39="NE","",IF(AQ39="0",0,IF(AQ39="1",0.5,IF(AQ39="2",1,0)))*$F39*$F$34*20))</f>
        <v/>
      </c>
      <c r="AS39" s="20">
        <f>IF(AQ39="NE","~",IF(AQ39="","",""))</f>
        <v/>
      </c>
      <c r="AT39" s="18" t="n"/>
      <c r="AU39" s="19">
        <f>IF(AT39="","",IF(AT39="NE","",IF(AT39="0",0,IF(AT39="1",0.5,IF(AT39="2",1,0)))*$F39*$F$34*20))</f>
        <v/>
      </c>
      <c r="AV39" s="20">
        <f>IF(AT39="NE","~",IF(AT39="","",""))</f>
        <v/>
      </c>
      <c r="AW39" s="18" t="n"/>
      <c r="AX39" s="19">
        <f>IF(AW39="","",IF(AW39="NE","",IF(AW39="0",0,IF(AW39="1",0.5,IF(AW39="2",1,0)))*$F39*$F$34*20))</f>
        <v/>
      </c>
      <c r="AY39" s="20">
        <f>IF(AW39="NE","~",IF(AW39="","",""))</f>
        <v/>
      </c>
      <c r="AZ39" s="18" t="n"/>
      <c r="BA39" s="19">
        <f>IF(AZ39="","",IF(AZ39="NE","",IF(AZ39="0",0,IF(AZ39="1",0.5,IF(AZ39="2",1,0)))*$F39*$F$34*20))</f>
        <v/>
      </c>
      <c r="BB39" s="20">
        <f>IF(AZ39="NE","~",IF(AZ39="","",""))</f>
        <v/>
      </c>
      <c r="BC39" s="18" t="n"/>
      <c r="BD39" s="19">
        <f>IF(BC39="","",IF(BC39="NE","",IF(BC39="0",0,IF(BC39="1",0.5,IF(BC39="2",1,0)))*$F39*$F$34*20))</f>
        <v/>
      </c>
      <c r="BE39" s="20">
        <f>IF(BC39="NE","~",IF(BC39="","",""))</f>
        <v/>
      </c>
      <c r="BF39" s="18" t="n"/>
      <c r="BG39" s="19">
        <f>IF(BF39="","",IF(BF39="NE","",IF(BF39="0",0,IF(BF39="1",0.5,IF(BF39="2",1,0)))*$F39*$F$34*20))</f>
        <v/>
      </c>
      <c r="BH39" s="20">
        <f>IF(BF39="NE","~",IF(BF39="","",""))</f>
        <v/>
      </c>
      <c r="BI39" s="18" t="n"/>
      <c r="BJ39" s="19">
        <f>IF(BI39="","",IF(BI39="NE","",IF(BI39="0",0,IF(BI39="1",0.5,IF(BI39="2",1,0)))*$F39*$F$34*20))</f>
        <v/>
      </c>
      <c r="BK39" s="20">
        <f>IF(BI39="NE","~",IF(BI39="","",""))</f>
        <v/>
      </c>
      <c r="BL39" s="18" t="n"/>
      <c r="BM39" s="19">
        <f>IF(BL39="","",IF(BL39="NE","",IF(BL39="0",0,IF(BL39="1",0.5,IF(BL39="2",1,0)))*$F39*$F$34*20))</f>
        <v/>
      </c>
      <c r="BN39" s="20">
        <f>IF(BL39="NE","~",IF(BL39="","",""))</f>
        <v/>
      </c>
      <c r="BO39" s="18" t="n"/>
      <c r="BP39" s="19">
        <f>IF(BO39="","",IF(BO39="NE","",IF(BO39="0",0,IF(BO39="1",0.5,IF(BO39="2",1,0)))*$F39*$F$34*20))</f>
        <v/>
      </c>
      <c r="BQ39" s="20">
        <f>IF(BO39="NE","~",IF(BO39="","",""))</f>
        <v/>
      </c>
      <c r="BR39" s="18" t="n"/>
      <c r="BS39" s="19">
        <f>IF(BR39="","",IF(BR39="NE","",IF(BR39="0",0,IF(BR39="1",0.5,IF(BR39="2",1,0)))*$F39*$F$34*20))</f>
        <v/>
      </c>
      <c r="BT39" s="20">
        <f>IF(BR39="NE","~",IF(BR39="","",""))</f>
        <v/>
      </c>
      <c r="BU39" s="18" t="n"/>
      <c r="BV39" s="19">
        <f>IF(BU39="","",IF(BU39="NE","",IF(BU39="0",0,IF(BU39="1",0.5,IF(BU39="2",1,0)))*$F39*$F$34*20))</f>
        <v/>
      </c>
      <c r="BW39" s="20">
        <f>IF(BU39="NE","~",IF(BU39="","",""))</f>
        <v/>
      </c>
      <c r="BX39" s="18" t="n"/>
      <c r="BY39" s="19">
        <f>IF(BX39="","",IF(BX39="NE","",IF(BX39="0",0,IF(BX39="1",0.5,IF(BX39="2",1,0)))*$F39*$F$34*20))</f>
        <v/>
      </c>
      <c r="BZ39" s="20">
        <f>IF(BX39="NE","~",IF(BX39="","",""))</f>
        <v/>
      </c>
      <c r="CA39" s="18" t="n"/>
      <c r="CB39" s="19">
        <f>IF(CA39="","",IF(CA39="NE","",IF(CA39="0",0,IF(CA39="1",0.5,IF(CA39="2",1,0)))*$F39*$F$34*20))</f>
        <v/>
      </c>
      <c r="CC39" s="20">
        <f>IF(CA39="NE","~",IF(CA39="","",""))</f>
        <v/>
      </c>
      <c r="CD39" s="18" t="n"/>
      <c r="CE39" s="19">
        <f>IF(CD39="","",IF(CD39="NE","",IF(CD39="0",0,IF(CD39="1",0.5,IF(CD39="2",1,0)))*$F39*$F$34*20))</f>
        <v/>
      </c>
      <c r="CF39" s="20">
        <f>IF(CD39="NE","~",IF(CD39="","",""))</f>
        <v/>
      </c>
      <c r="CG39" s="18" t="n"/>
      <c r="CH39" s="19">
        <f>IF(CG39="","",IF(CG39="NE","",IF(CG39="0",0,IF(CG39="1",0.5,IF(CG39="2",1,0)))*$F39*$F$34*20))</f>
        <v/>
      </c>
      <c r="CI39" s="20">
        <f>IF(CG39="NE","~",IF(CG39="","",""))</f>
        <v/>
      </c>
      <c r="CJ39" s="18" t="n"/>
      <c r="CK39" s="19">
        <f>IF(CJ39="","",IF(CJ39="NE","",IF(CJ39="0",0,IF(CJ39="1",0.5,IF(CJ39="2",1,0)))*$F39*$F$34*20))</f>
        <v/>
      </c>
      <c r="CL39" s="20">
        <f>IF(CJ39="NE","~",IF(CJ39="","",""))</f>
        <v/>
      </c>
      <c r="CM39" s="18" t="n"/>
      <c r="CN39" s="19">
        <f>IF(CM39="","",IF(CM39="NE","",IF(CM39="0",0,IF(CM39="1",0.5,IF(CM39="2",1,0)))*$F39*$F$34*20))</f>
        <v/>
      </c>
      <c r="CO39" s="20">
        <f>IF(CM39="NE","~",IF(CM39="","",""))</f>
        <v/>
      </c>
      <c r="CP39" s="18" t="n"/>
      <c r="CQ39" s="19">
        <f>IF(CP39="","",IF(CP39="NE","",IF(CP39="0",0,IF(CP39="1",0.5,IF(CP39="2",1,0)))*$F39*$F$34*20))</f>
        <v/>
      </c>
      <c r="CR39" s="20">
        <f>IF(CP39="NE","~",IF(CP39="","",""))</f>
        <v/>
      </c>
    </row>
    <row r="40" ht="36" customHeight="1">
      <c r="A40" s="15" t="n">
        <v>32</v>
      </c>
      <c r="B40" s="15" t="inlineStr">
        <is>
          <t>P5</t>
        </is>
      </c>
      <c r="C40" s="15" t="inlineStr">
        <is>
          <t>Q5.3</t>
        </is>
      </c>
      <c r="D40" s="15" t="inlineStr">
        <is>
          <t>Critère</t>
        </is>
      </c>
      <c r="E40" s="16" t="inlineStr">
        <is>
          <t>Conclusion : σ_sol (0,02 MPa) &lt; résistance admissible (0,1 MPa) → le sol supporte la charge.</t>
        </is>
      </c>
      <c r="F40" s="17" t="n">
        <v>0.05</v>
      </c>
      <c r="G40" s="18" t="n"/>
      <c r="H40" s="19">
        <f>IF(G40="","",IF(G40="NE","",IF(G40="0",0,IF(G40="1",0.5,IF(G40="2",1,0)))*$F40*$F$34*20))</f>
        <v/>
      </c>
      <c r="I40" s="20">
        <f>IF(G40="NE","~",IF(G40="","",""))</f>
        <v/>
      </c>
      <c r="J40" s="18" t="n"/>
      <c r="K40" s="19">
        <f>IF(J40="","",IF(J40="NE","",IF(J40="0",0,IF(J40="1",0.5,IF(J40="2",1,0)))*$F40*$F$34*20))</f>
        <v/>
      </c>
      <c r="L40" s="20">
        <f>IF(J40="NE","~",IF(J40="","",""))</f>
        <v/>
      </c>
      <c r="M40" s="18" t="n"/>
      <c r="N40" s="19">
        <f>IF(M40="","",IF(M40="NE","",IF(M40="0",0,IF(M40="1",0.5,IF(M40="2",1,0)))*$F40*$F$34*20))</f>
        <v/>
      </c>
      <c r="O40" s="20">
        <f>IF(M40="NE","~",IF(M40="","",""))</f>
        <v/>
      </c>
      <c r="P40" s="18" t="n"/>
      <c r="Q40" s="19">
        <f>IF(P40="","",IF(P40="NE","",IF(P40="0",0,IF(P40="1",0.5,IF(P40="2",1,0)))*$F40*$F$34*20))</f>
        <v/>
      </c>
      <c r="R40" s="20">
        <f>IF(P40="NE","~",IF(P40="","",""))</f>
        <v/>
      </c>
      <c r="S40" s="18" t="n"/>
      <c r="T40" s="19">
        <f>IF(S40="","",IF(S40="NE","",IF(S40="0",0,IF(S40="1",0.5,IF(S40="2",1,0)))*$F40*$F$34*20))</f>
        <v/>
      </c>
      <c r="U40" s="20">
        <f>IF(S40="NE","~",IF(S40="","",""))</f>
        <v/>
      </c>
      <c r="V40" s="18" t="n"/>
      <c r="W40" s="19">
        <f>IF(V40="","",IF(V40="NE","",IF(V40="0",0,IF(V40="1",0.5,IF(V40="2",1,0)))*$F40*$F$34*20))</f>
        <v/>
      </c>
      <c r="X40" s="20">
        <f>IF(V40="NE","~",IF(V40="","",""))</f>
        <v/>
      </c>
      <c r="Y40" s="18" t="n"/>
      <c r="Z40" s="19">
        <f>IF(Y40="","",IF(Y40="NE","",IF(Y40="0",0,IF(Y40="1",0.5,IF(Y40="2",1,0)))*$F40*$F$34*20))</f>
        <v/>
      </c>
      <c r="AA40" s="20">
        <f>IF(Y40="NE","~",IF(Y40="","",""))</f>
        <v/>
      </c>
      <c r="AB40" s="18" t="n"/>
      <c r="AC40" s="19">
        <f>IF(AB40="","",IF(AB40="NE","",IF(AB40="0",0,IF(AB40="1",0.5,IF(AB40="2",1,0)))*$F40*$F$34*20))</f>
        <v/>
      </c>
      <c r="AD40" s="20">
        <f>IF(AB40="NE","~",IF(AB40="","",""))</f>
        <v/>
      </c>
      <c r="AE40" s="18" t="n"/>
      <c r="AF40" s="19">
        <f>IF(AE40="","",IF(AE40="NE","",IF(AE40="0",0,IF(AE40="1",0.5,IF(AE40="2",1,0)))*$F40*$F$34*20))</f>
        <v/>
      </c>
      <c r="AG40" s="20">
        <f>IF(AE40="NE","~",IF(AE40="","",""))</f>
        <v/>
      </c>
      <c r="AH40" s="18" t="n"/>
      <c r="AI40" s="19">
        <f>IF(AH40="","",IF(AH40="NE","",IF(AH40="0",0,IF(AH40="1",0.5,IF(AH40="2",1,0)))*$F40*$F$34*20))</f>
        <v/>
      </c>
      <c r="AJ40" s="20">
        <f>IF(AH40="NE","~",IF(AH40="","",""))</f>
        <v/>
      </c>
      <c r="AK40" s="18" t="n"/>
      <c r="AL40" s="19">
        <f>IF(AK40="","",IF(AK40="NE","",IF(AK40="0",0,IF(AK40="1",0.5,IF(AK40="2",1,0)))*$F40*$F$34*20))</f>
        <v/>
      </c>
      <c r="AM40" s="20">
        <f>IF(AK40="NE","~",IF(AK40="","",""))</f>
        <v/>
      </c>
      <c r="AN40" s="18" t="n"/>
      <c r="AO40" s="19">
        <f>IF(AN40="","",IF(AN40="NE","",IF(AN40="0",0,IF(AN40="1",0.5,IF(AN40="2",1,0)))*$F40*$F$34*20))</f>
        <v/>
      </c>
      <c r="AP40" s="20">
        <f>IF(AN40="NE","~",IF(AN40="","",""))</f>
        <v/>
      </c>
      <c r="AQ40" s="18" t="n"/>
      <c r="AR40" s="19">
        <f>IF(AQ40="","",IF(AQ40="NE","",IF(AQ40="0",0,IF(AQ40="1",0.5,IF(AQ40="2",1,0)))*$F40*$F$34*20))</f>
        <v/>
      </c>
      <c r="AS40" s="20">
        <f>IF(AQ40="NE","~",IF(AQ40="","",""))</f>
        <v/>
      </c>
      <c r="AT40" s="18" t="n"/>
      <c r="AU40" s="19">
        <f>IF(AT40="","",IF(AT40="NE","",IF(AT40="0",0,IF(AT40="1",0.5,IF(AT40="2",1,0)))*$F40*$F$34*20))</f>
        <v/>
      </c>
      <c r="AV40" s="20">
        <f>IF(AT40="NE","~",IF(AT40="","",""))</f>
        <v/>
      </c>
      <c r="AW40" s="18" t="n"/>
      <c r="AX40" s="19">
        <f>IF(AW40="","",IF(AW40="NE","",IF(AW40="0",0,IF(AW40="1",0.5,IF(AW40="2",1,0)))*$F40*$F$34*20))</f>
        <v/>
      </c>
      <c r="AY40" s="20">
        <f>IF(AW40="NE","~",IF(AW40="","",""))</f>
        <v/>
      </c>
      <c r="AZ40" s="18" t="n"/>
      <c r="BA40" s="19">
        <f>IF(AZ40="","",IF(AZ40="NE","",IF(AZ40="0",0,IF(AZ40="1",0.5,IF(AZ40="2",1,0)))*$F40*$F$34*20))</f>
        <v/>
      </c>
      <c r="BB40" s="20">
        <f>IF(AZ40="NE","~",IF(AZ40="","",""))</f>
        <v/>
      </c>
      <c r="BC40" s="18" t="n"/>
      <c r="BD40" s="19">
        <f>IF(BC40="","",IF(BC40="NE","",IF(BC40="0",0,IF(BC40="1",0.5,IF(BC40="2",1,0)))*$F40*$F$34*20))</f>
        <v/>
      </c>
      <c r="BE40" s="20">
        <f>IF(BC40="NE","~",IF(BC40="","",""))</f>
        <v/>
      </c>
      <c r="BF40" s="18" t="n"/>
      <c r="BG40" s="19">
        <f>IF(BF40="","",IF(BF40="NE","",IF(BF40="0",0,IF(BF40="1",0.5,IF(BF40="2",1,0)))*$F40*$F$34*20))</f>
        <v/>
      </c>
      <c r="BH40" s="20">
        <f>IF(BF40="NE","~",IF(BF40="","",""))</f>
        <v/>
      </c>
      <c r="BI40" s="18" t="n"/>
      <c r="BJ40" s="19">
        <f>IF(BI40="","",IF(BI40="NE","",IF(BI40="0",0,IF(BI40="1",0.5,IF(BI40="2",1,0)))*$F40*$F$34*20))</f>
        <v/>
      </c>
      <c r="BK40" s="20">
        <f>IF(BI40="NE","~",IF(BI40="","",""))</f>
        <v/>
      </c>
      <c r="BL40" s="18" t="n"/>
      <c r="BM40" s="19">
        <f>IF(BL40="","",IF(BL40="NE","",IF(BL40="0",0,IF(BL40="1",0.5,IF(BL40="2",1,0)))*$F40*$F$34*20))</f>
        <v/>
      </c>
      <c r="BN40" s="20">
        <f>IF(BL40="NE","~",IF(BL40="","",""))</f>
        <v/>
      </c>
      <c r="BO40" s="18" t="n"/>
      <c r="BP40" s="19">
        <f>IF(BO40="","",IF(BO40="NE","",IF(BO40="0",0,IF(BO40="1",0.5,IF(BO40="2",1,0)))*$F40*$F$34*20))</f>
        <v/>
      </c>
      <c r="BQ40" s="20">
        <f>IF(BO40="NE","~",IF(BO40="","",""))</f>
        <v/>
      </c>
      <c r="BR40" s="18" t="n"/>
      <c r="BS40" s="19">
        <f>IF(BR40="","",IF(BR40="NE","",IF(BR40="0",0,IF(BR40="1",0.5,IF(BR40="2",1,0)))*$F40*$F$34*20))</f>
        <v/>
      </c>
      <c r="BT40" s="20">
        <f>IF(BR40="NE","~",IF(BR40="","",""))</f>
        <v/>
      </c>
      <c r="BU40" s="18" t="n"/>
      <c r="BV40" s="19">
        <f>IF(BU40="","",IF(BU40="NE","",IF(BU40="0",0,IF(BU40="1",0.5,IF(BU40="2",1,0)))*$F40*$F$34*20))</f>
        <v/>
      </c>
      <c r="BW40" s="20">
        <f>IF(BU40="NE","~",IF(BU40="","",""))</f>
        <v/>
      </c>
      <c r="BX40" s="18" t="n"/>
      <c r="BY40" s="19">
        <f>IF(BX40="","",IF(BX40="NE","",IF(BX40="0",0,IF(BX40="1",0.5,IF(BX40="2",1,0)))*$F40*$F$34*20))</f>
        <v/>
      </c>
      <c r="BZ40" s="20">
        <f>IF(BX40="NE","~",IF(BX40="","",""))</f>
        <v/>
      </c>
      <c r="CA40" s="18" t="n"/>
      <c r="CB40" s="19">
        <f>IF(CA40="","",IF(CA40="NE","",IF(CA40="0",0,IF(CA40="1",0.5,IF(CA40="2",1,0)))*$F40*$F$34*20))</f>
        <v/>
      </c>
      <c r="CC40" s="20">
        <f>IF(CA40="NE","~",IF(CA40="","",""))</f>
        <v/>
      </c>
      <c r="CD40" s="18" t="n"/>
      <c r="CE40" s="19">
        <f>IF(CD40="","",IF(CD40="NE","",IF(CD40="0",0,IF(CD40="1",0.5,IF(CD40="2",1,0)))*$F40*$F$34*20))</f>
        <v/>
      </c>
      <c r="CF40" s="20">
        <f>IF(CD40="NE","~",IF(CD40="","",""))</f>
        <v/>
      </c>
      <c r="CG40" s="18" t="n"/>
      <c r="CH40" s="19">
        <f>IF(CG40="","",IF(CG40="NE","",IF(CG40="0",0,IF(CG40="1",0.5,IF(CG40="2",1,0)))*$F40*$F$34*20))</f>
        <v/>
      </c>
      <c r="CI40" s="20">
        <f>IF(CG40="NE","~",IF(CG40="","",""))</f>
        <v/>
      </c>
      <c r="CJ40" s="18" t="n"/>
      <c r="CK40" s="19">
        <f>IF(CJ40="","",IF(CJ40="NE","",IF(CJ40="0",0,IF(CJ40="1",0.5,IF(CJ40="2",1,0)))*$F40*$F$34*20))</f>
        <v/>
      </c>
      <c r="CL40" s="20">
        <f>IF(CJ40="NE","~",IF(CJ40="","",""))</f>
        <v/>
      </c>
      <c r="CM40" s="18" t="n"/>
      <c r="CN40" s="19">
        <f>IF(CM40="","",IF(CM40="NE","",IF(CM40="0",0,IF(CM40="1",0.5,IF(CM40="2",1,0)))*$F40*$F$34*20))</f>
        <v/>
      </c>
      <c r="CO40" s="20">
        <f>IF(CM40="NE","~",IF(CM40="","",""))</f>
        <v/>
      </c>
      <c r="CP40" s="18" t="n"/>
      <c r="CQ40" s="19">
        <f>IF(CP40="","",IF(CP40="NE","",IF(CP40="0",0,IF(CP40="1",0.5,IF(CP40="2",1,0)))*$F40*$F$34*20))</f>
        <v/>
      </c>
      <c r="CR40" s="20">
        <f>IF(CP40="NE","~",IF(CP40="","",""))</f>
        <v/>
      </c>
    </row>
    <row r="41" ht="36" customHeight="1">
      <c r="A41" s="15" t="n">
        <v>33</v>
      </c>
      <c r="B41" s="15" t="inlineStr">
        <is>
          <t>P5</t>
        </is>
      </c>
      <c r="C41" s="15" t="inlineStr">
        <is>
          <t>Q5.4</t>
        </is>
      </c>
      <c r="D41" s="15" t="inlineStr">
        <is>
          <t>Critère</t>
        </is>
      </c>
      <c r="E41" s="16" t="inlineStr">
        <is>
          <t>Brûler le méthane est écologiquement plus intéressant que le relâcher dans l'atmosphère.</t>
        </is>
      </c>
      <c r="F41" s="17" t="n">
        <v>0.1</v>
      </c>
      <c r="G41" s="18" t="n"/>
      <c r="H41" s="19">
        <f>IF(G41="","",IF(G41="NE","",IF(G41="0",0,IF(G41="1",0.5,IF(G41="2",1,0)))*$F41*$F$34*20))</f>
        <v/>
      </c>
      <c r="I41" s="20">
        <f>IF(G41="NE","~",IF(G41="","",""))</f>
        <v/>
      </c>
      <c r="J41" s="18" t="n"/>
      <c r="K41" s="19">
        <f>IF(J41="","",IF(J41="NE","",IF(J41="0",0,IF(J41="1",0.5,IF(J41="2",1,0)))*$F41*$F$34*20))</f>
        <v/>
      </c>
      <c r="L41" s="20">
        <f>IF(J41="NE","~",IF(J41="","",""))</f>
        <v/>
      </c>
      <c r="M41" s="18" t="n"/>
      <c r="N41" s="19">
        <f>IF(M41="","",IF(M41="NE","",IF(M41="0",0,IF(M41="1",0.5,IF(M41="2",1,0)))*$F41*$F$34*20))</f>
        <v/>
      </c>
      <c r="O41" s="20">
        <f>IF(M41="NE","~",IF(M41="","",""))</f>
        <v/>
      </c>
      <c r="P41" s="18" t="n"/>
      <c r="Q41" s="19">
        <f>IF(P41="","",IF(P41="NE","",IF(P41="0",0,IF(P41="1",0.5,IF(P41="2",1,0)))*$F41*$F$34*20))</f>
        <v/>
      </c>
      <c r="R41" s="20">
        <f>IF(P41="NE","~",IF(P41="","",""))</f>
        <v/>
      </c>
      <c r="S41" s="18" t="n"/>
      <c r="T41" s="19">
        <f>IF(S41="","",IF(S41="NE","",IF(S41="0",0,IF(S41="1",0.5,IF(S41="2",1,0)))*$F41*$F$34*20))</f>
        <v/>
      </c>
      <c r="U41" s="20">
        <f>IF(S41="NE","~",IF(S41="","",""))</f>
        <v/>
      </c>
      <c r="V41" s="18" t="n"/>
      <c r="W41" s="19">
        <f>IF(V41="","",IF(V41="NE","",IF(V41="0",0,IF(V41="1",0.5,IF(V41="2",1,0)))*$F41*$F$34*20))</f>
        <v/>
      </c>
      <c r="X41" s="20">
        <f>IF(V41="NE","~",IF(V41="","",""))</f>
        <v/>
      </c>
      <c r="Y41" s="18" t="n"/>
      <c r="Z41" s="19">
        <f>IF(Y41="","",IF(Y41="NE","",IF(Y41="0",0,IF(Y41="1",0.5,IF(Y41="2",1,0)))*$F41*$F$34*20))</f>
        <v/>
      </c>
      <c r="AA41" s="20">
        <f>IF(Y41="NE","~",IF(Y41="","",""))</f>
        <v/>
      </c>
      <c r="AB41" s="18" t="n"/>
      <c r="AC41" s="19">
        <f>IF(AB41="","",IF(AB41="NE","",IF(AB41="0",0,IF(AB41="1",0.5,IF(AB41="2",1,0)))*$F41*$F$34*20))</f>
        <v/>
      </c>
      <c r="AD41" s="20">
        <f>IF(AB41="NE","~",IF(AB41="","",""))</f>
        <v/>
      </c>
      <c r="AE41" s="18" t="n"/>
      <c r="AF41" s="19">
        <f>IF(AE41="","",IF(AE41="NE","",IF(AE41="0",0,IF(AE41="1",0.5,IF(AE41="2",1,0)))*$F41*$F$34*20))</f>
        <v/>
      </c>
      <c r="AG41" s="20">
        <f>IF(AE41="NE","~",IF(AE41="","",""))</f>
        <v/>
      </c>
      <c r="AH41" s="18" t="n"/>
      <c r="AI41" s="19">
        <f>IF(AH41="","",IF(AH41="NE","",IF(AH41="0",0,IF(AH41="1",0.5,IF(AH41="2",1,0)))*$F41*$F$34*20))</f>
        <v/>
      </c>
      <c r="AJ41" s="20">
        <f>IF(AH41="NE","~",IF(AH41="","",""))</f>
        <v/>
      </c>
      <c r="AK41" s="18" t="n"/>
      <c r="AL41" s="19">
        <f>IF(AK41="","",IF(AK41="NE","",IF(AK41="0",0,IF(AK41="1",0.5,IF(AK41="2",1,0)))*$F41*$F$34*20))</f>
        <v/>
      </c>
      <c r="AM41" s="20">
        <f>IF(AK41="NE","~",IF(AK41="","",""))</f>
        <v/>
      </c>
      <c r="AN41" s="18" t="n"/>
      <c r="AO41" s="19">
        <f>IF(AN41="","",IF(AN41="NE","",IF(AN41="0",0,IF(AN41="1",0.5,IF(AN41="2",1,0)))*$F41*$F$34*20))</f>
        <v/>
      </c>
      <c r="AP41" s="20">
        <f>IF(AN41="NE","~",IF(AN41="","",""))</f>
        <v/>
      </c>
      <c r="AQ41" s="18" t="n"/>
      <c r="AR41" s="19">
        <f>IF(AQ41="","",IF(AQ41="NE","",IF(AQ41="0",0,IF(AQ41="1",0.5,IF(AQ41="2",1,0)))*$F41*$F$34*20))</f>
        <v/>
      </c>
      <c r="AS41" s="20">
        <f>IF(AQ41="NE","~",IF(AQ41="","",""))</f>
        <v/>
      </c>
      <c r="AT41" s="18" t="n"/>
      <c r="AU41" s="19">
        <f>IF(AT41="","",IF(AT41="NE","",IF(AT41="0",0,IF(AT41="1",0.5,IF(AT41="2",1,0)))*$F41*$F$34*20))</f>
        <v/>
      </c>
      <c r="AV41" s="20">
        <f>IF(AT41="NE","~",IF(AT41="","",""))</f>
        <v/>
      </c>
      <c r="AW41" s="18" t="n"/>
      <c r="AX41" s="19">
        <f>IF(AW41="","",IF(AW41="NE","",IF(AW41="0",0,IF(AW41="1",0.5,IF(AW41="2",1,0)))*$F41*$F$34*20))</f>
        <v/>
      </c>
      <c r="AY41" s="20">
        <f>IF(AW41="NE","~",IF(AW41="","",""))</f>
        <v/>
      </c>
      <c r="AZ41" s="18" t="n"/>
      <c r="BA41" s="19">
        <f>IF(AZ41="","",IF(AZ41="NE","",IF(AZ41="0",0,IF(AZ41="1",0.5,IF(AZ41="2",1,0)))*$F41*$F$34*20))</f>
        <v/>
      </c>
      <c r="BB41" s="20">
        <f>IF(AZ41="NE","~",IF(AZ41="","",""))</f>
        <v/>
      </c>
      <c r="BC41" s="18" t="n"/>
      <c r="BD41" s="19">
        <f>IF(BC41="","",IF(BC41="NE","",IF(BC41="0",0,IF(BC41="1",0.5,IF(BC41="2",1,0)))*$F41*$F$34*20))</f>
        <v/>
      </c>
      <c r="BE41" s="20">
        <f>IF(BC41="NE","~",IF(BC41="","",""))</f>
        <v/>
      </c>
      <c r="BF41" s="18" t="n"/>
      <c r="BG41" s="19">
        <f>IF(BF41="","",IF(BF41="NE","",IF(BF41="0",0,IF(BF41="1",0.5,IF(BF41="2",1,0)))*$F41*$F$34*20))</f>
        <v/>
      </c>
      <c r="BH41" s="20">
        <f>IF(BF41="NE","~",IF(BF41="","",""))</f>
        <v/>
      </c>
      <c r="BI41" s="18" t="n"/>
      <c r="BJ41" s="19">
        <f>IF(BI41="","",IF(BI41="NE","",IF(BI41="0",0,IF(BI41="1",0.5,IF(BI41="2",1,0)))*$F41*$F$34*20))</f>
        <v/>
      </c>
      <c r="BK41" s="20">
        <f>IF(BI41="NE","~",IF(BI41="","",""))</f>
        <v/>
      </c>
      <c r="BL41" s="18" t="n"/>
      <c r="BM41" s="19">
        <f>IF(BL41="","",IF(BL41="NE","",IF(BL41="0",0,IF(BL41="1",0.5,IF(BL41="2",1,0)))*$F41*$F$34*20))</f>
        <v/>
      </c>
      <c r="BN41" s="20">
        <f>IF(BL41="NE","~",IF(BL41="","",""))</f>
        <v/>
      </c>
      <c r="BO41" s="18" t="n"/>
      <c r="BP41" s="19">
        <f>IF(BO41="","",IF(BO41="NE","",IF(BO41="0",0,IF(BO41="1",0.5,IF(BO41="2",1,0)))*$F41*$F$34*20))</f>
        <v/>
      </c>
      <c r="BQ41" s="20">
        <f>IF(BO41="NE","~",IF(BO41="","",""))</f>
        <v/>
      </c>
      <c r="BR41" s="18" t="n"/>
      <c r="BS41" s="19">
        <f>IF(BR41="","",IF(BR41="NE","",IF(BR41="0",0,IF(BR41="1",0.5,IF(BR41="2",1,0)))*$F41*$F$34*20))</f>
        <v/>
      </c>
      <c r="BT41" s="20">
        <f>IF(BR41="NE","~",IF(BR41="","",""))</f>
        <v/>
      </c>
      <c r="BU41" s="18" t="n"/>
      <c r="BV41" s="19">
        <f>IF(BU41="","",IF(BU41="NE","",IF(BU41="0",0,IF(BU41="1",0.5,IF(BU41="2",1,0)))*$F41*$F$34*20))</f>
        <v/>
      </c>
      <c r="BW41" s="20">
        <f>IF(BU41="NE","~",IF(BU41="","",""))</f>
        <v/>
      </c>
      <c r="BX41" s="18" t="n"/>
      <c r="BY41" s="19">
        <f>IF(BX41="","",IF(BX41="NE","",IF(BX41="0",0,IF(BX41="1",0.5,IF(BX41="2",1,0)))*$F41*$F$34*20))</f>
        <v/>
      </c>
      <c r="BZ41" s="20">
        <f>IF(BX41="NE","~",IF(BX41="","",""))</f>
        <v/>
      </c>
      <c r="CA41" s="18" t="n"/>
      <c r="CB41" s="19">
        <f>IF(CA41="","",IF(CA41="NE","",IF(CA41="0",0,IF(CA41="1",0.5,IF(CA41="2",1,0)))*$F41*$F$34*20))</f>
        <v/>
      </c>
      <c r="CC41" s="20">
        <f>IF(CA41="NE","~",IF(CA41="","",""))</f>
        <v/>
      </c>
      <c r="CD41" s="18" t="n"/>
      <c r="CE41" s="19">
        <f>IF(CD41="","",IF(CD41="NE","",IF(CD41="0",0,IF(CD41="1",0.5,IF(CD41="2",1,0)))*$F41*$F$34*20))</f>
        <v/>
      </c>
      <c r="CF41" s="20">
        <f>IF(CD41="NE","~",IF(CD41="","",""))</f>
        <v/>
      </c>
      <c r="CG41" s="18" t="n"/>
      <c r="CH41" s="19">
        <f>IF(CG41="","",IF(CG41="NE","",IF(CG41="0",0,IF(CG41="1",0.5,IF(CG41="2",1,0)))*$F41*$F$34*20))</f>
        <v/>
      </c>
      <c r="CI41" s="20">
        <f>IF(CG41="NE","~",IF(CG41="","",""))</f>
        <v/>
      </c>
      <c r="CJ41" s="18" t="n"/>
      <c r="CK41" s="19">
        <f>IF(CJ41="","",IF(CJ41="NE","",IF(CJ41="0",0,IF(CJ41="1",0.5,IF(CJ41="2",1,0)))*$F41*$F$34*20))</f>
        <v/>
      </c>
      <c r="CL41" s="20">
        <f>IF(CJ41="NE","~",IF(CJ41="","",""))</f>
        <v/>
      </c>
      <c r="CM41" s="18" t="n"/>
      <c r="CN41" s="19">
        <f>IF(CM41="","",IF(CM41="NE","",IF(CM41="0",0,IF(CM41="1",0.5,IF(CM41="2",1,0)))*$F41*$F$34*20))</f>
        <v/>
      </c>
      <c r="CO41" s="20">
        <f>IF(CM41="NE","~",IF(CM41="","",""))</f>
        <v/>
      </c>
      <c r="CP41" s="18" t="n"/>
      <c r="CQ41" s="19">
        <f>IF(CP41="","",IF(CP41="NE","",IF(CP41="0",0,IF(CP41="1",0.5,IF(CP41="2",1,0)))*$F41*$F$34*20))</f>
        <v/>
      </c>
      <c r="CR41" s="20">
        <f>IF(CP41="NE","~",IF(CP41="","",""))</f>
        <v/>
      </c>
    </row>
    <row r="42" ht="36" customHeight="1">
      <c r="A42" s="15" t="n">
        <v>34</v>
      </c>
      <c r="B42" s="15" t="inlineStr">
        <is>
          <t>P5</t>
        </is>
      </c>
      <c r="C42" s="15" t="inlineStr">
        <is>
          <t>Q5.4</t>
        </is>
      </c>
      <c r="D42" s="15" t="inlineStr">
        <is>
          <t>Critère</t>
        </is>
      </c>
      <c r="E42" s="16" t="inlineStr">
        <is>
          <t>La dalle existante et le sol sont capables de supporter l'installation complète.</t>
        </is>
      </c>
      <c r="F42" s="17" t="n">
        <v>0.1</v>
      </c>
      <c r="G42" s="18" t="n"/>
      <c r="H42" s="19">
        <f>IF(G42="","",IF(G42="NE","",IF(G42="0",0,IF(G42="1",0.5,IF(G42="2",1,0)))*$F42*$F$34*20))</f>
        <v/>
      </c>
      <c r="I42" s="20">
        <f>IF(G42="NE","~",IF(G42="","",""))</f>
        <v/>
      </c>
      <c r="J42" s="18" t="n"/>
      <c r="K42" s="19">
        <f>IF(J42="","",IF(J42="NE","",IF(J42="0",0,IF(J42="1",0.5,IF(J42="2",1,0)))*$F42*$F$34*20))</f>
        <v/>
      </c>
      <c r="L42" s="20">
        <f>IF(J42="NE","~",IF(J42="","",""))</f>
        <v/>
      </c>
      <c r="M42" s="18" t="n"/>
      <c r="N42" s="19">
        <f>IF(M42="","",IF(M42="NE","",IF(M42="0",0,IF(M42="1",0.5,IF(M42="2",1,0)))*$F42*$F$34*20))</f>
        <v/>
      </c>
      <c r="O42" s="20">
        <f>IF(M42="NE","~",IF(M42="","",""))</f>
        <v/>
      </c>
      <c r="P42" s="18" t="n"/>
      <c r="Q42" s="19">
        <f>IF(P42="","",IF(P42="NE","",IF(P42="0",0,IF(P42="1",0.5,IF(P42="2",1,0)))*$F42*$F$34*20))</f>
        <v/>
      </c>
      <c r="R42" s="20">
        <f>IF(P42="NE","~",IF(P42="","",""))</f>
        <v/>
      </c>
      <c r="S42" s="18" t="n"/>
      <c r="T42" s="19">
        <f>IF(S42="","",IF(S42="NE","",IF(S42="0",0,IF(S42="1",0.5,IF(S42="2",1,0)))*$F42*$F$34*20))</f>
        <v/>
      </c>
      <c r="U42" s="20">
        <f>IF(S42="NE","~",IF(S42="","",""))</f>
        <v/>
      </c>
      <c r="V42" s="18" t="n"/>
      <c r="W42" s="19">
        <f>IF(V42="","",IF(V42="NE","",IF(V42="0",0,IF(V42="1",0.5,IF(V42="2",1,0)))*$F42*$F$34*20))</f>
        <v/>
      </c>
      <c r="X42" s="20">
        <f>IF(V42="NE","~",IF(V42="","",""))</f>
        <v/>
      </c>
      <c r="Y42" s="18" t="n"/>
      <c r="Z42" s="19">
        <f>IF(Y42="","",IF(Y42="NE","",IF(Y42="0",0,IF(Y42="1",0.5,IF(Y42="2",1,0)))*$F42*$F$34*20))</f>
        <v/>
      </c>
      <c r="AA42" s="20">
        <f>IF(Y42="NE","~",IF(Y42="","",""))</f>
        <v/>
      </c>
      <c r="AB42" s="18" t="n"/>
      <c r="AC42" s="19">
        <f>IF(AB42="","",IF(AB42="NE","",IF(AB42="0",0,IF(AB42="1",0.5,IF(AB42="2",1,0)))*$F42*$F$34*20))</f>
        <v/>
      </c>
      <c r="AD42" s="20">
        <f>IF(AB42="NE","~",IF(AB42="","",""))</f>
        <v/>
      </c>
      <c r="AE42" s="18" t="n"/>
      <c r="AF42" s="19">
        <f>IF(AE42="","",IF(AE42="NE","",IF(AE42="0",0,IF(AE42="1",0.5,IF(AE42="2",1,0)))*$F42*$F$34*20))</f>
        <v/>
      </c>
      <c r="AG42" s="20">
        <f>IF(AE42="NE","~",IF(AE42="","",""))</f>
        <v/>
      </c>
      <c r="AH42" s="18" t="n"/>
      <c r="AI42" s="19">
        <f>IF(AH42="","",IF(AH42="NE","",IF(AH42="0",0,IF(AH42="1",0.5,IF(AH42="2",1,0)))*$F42*$F$34*20))</f>
        <v/>
      </c>
      <c r="AJ42" s="20">
        <f>IF(AH42="NE","~",IF(AH42="","",""))</f>
        <v/>
      </c>
      <c r="AK42" s="18" t="n"/>
      <c r="AL42" s="19">
        <f>IF(AK42="","",IF(AK42="NE","",IF(AK42="0",0,IF(AK42="1",0.5,IF(AK42="2",1,0)))*$F42*$F$34*20))</f>
        <v/>
      </c>
      <c r="AM42" s="20">
        <f>IF(AK42="NE","~",IF(AK42="","",""))</f>
        <v/>
      </c>
      <c r="AN42" s="18" t="n"/>
      <c r="AO42" s="19">
        <f>IF(AN42="","",IF(AN42="NE","",IF(AN42="0",0,IF(AN42="1",0.5,IF(AN42="2",1,0)))*$F42*$F$34*20))</f>
        <v/>
      </c>
      <c r="AP42" s="20">
        <f>IF(AN42="NE","~",IF(AN42="","",""))</f>
        <v/>
      </c>
      <c r="AQ42" s="18" t="n"/>
      <c r="AR42" s="19">
        <f>IF(AQ42="","",IF(AQ42="NE","",IF(AQ42="0",0,IF(AQ42="1",0.5,IF(AQ42="2",1,0)))*$F42*$F$34*20))</f>
        <v/>
      </c>
      <c r="AS42" s="20">
        <f>IF(AQ42="NE","~",IF(AQ42="","",""))</f>
        <v/>
      </c>
      <c r="AT42" s="18" t="n"/>
      <c r="AU42" s="19">
        <f>IF(AT42="","",IF(AT42="NE","",IF(AT42="0",0,IF(AT42="1",0.5,IF(AT42="2",1,0)))*$F42*$F$34*20))</f>
        <v/>
      </c>
      <c r="AV42" s="20">
        <f>IF(AT42="NE","~",IF(AT42="","",""))</f>
        <v/>
      </c>
      <c r="AW42" s="18" t="n"/>
      <c r="AX42" s="19">
        <f>IF(AW42="","",IF(AW42="NE","",IF(AW42="0",0,IF(AW42="1",0.5,IF(AW42="2",1,0)))*$F42*$F$34*20))</f>
        <v/>
      </c>
      <c r="AY42" s="20">
        <f>IF(AW42="NE","~",IF(AW42="","",""))</f>
        <v/>
      </c>
      <c r="AZ42" s="18" t="n"/>
      <c r="BA42" s="19">
        <f>IF(AZ42="","",IF(AZ42="NE","",IF(AZ42="0",0,IF(AZ42="1",0.5,IF(AZ42="2",1,0)))*$F42*$F$34*20))</f>
        <v/>
      </c>
      <c r="BB42" s="20">
        <f>IF(AZ42="NE","~",IF(AZ42="","",""))</f>
        <v/>
      </c>
      <c r="BC42" s="18" t="n"/>
      <c r="BD42" s="19">
        <f>IF(BC42="","",IF(BC42="NE","",IF(BC42="0",0,IF(BC42="1",0.5,IF(BC42="2",1,0)))*$F42*$F$34*20))</f>
        <v/>
      </c>
      <c r="BE42" s="20">
        <f>IF(BC42="NE","~",IF(BC42="","",""))</f>
        <v/>
      </c>
      <c r="BF42" s="18" t="n"/>
      <c r="BG42" s="19">
        <f>IF(BF42="","",IF(BF42="NE","",IF(BF42="0",0,IF(BF42="1",0.5,IF(BF42="2",1,0)))*$F42*$F$34*20))</f>
        <v/>
      </c>
      <c r="BH42" s="20">
        <f>IF(BF42="NE","~",IF(BF42="","",""))</f>
        <v/>
      </c>
      <c r="BI42" s="18" t="n"/>
      <c r="BJ42" s="19">
        <f>IF(BI42="","",IF(BI42="NE","",IF(BI42="0",0,IF(BI42="1",0.5,IF(BI42="2",1,0)))*$F42*$F$34*20))</f>
        <v/>
      </c>
      <c r="BK42" s="20">
        <f>IF(BI42="NE","~",IF(BI42="","",""))</f>
        <v/>
      </c>
      <c r="BL42" s="18" t="n"/>
      <c r="BM42" s="19">
        <f>IF(BL42="","",IF(BL42="NE","",IF(BL42="0",0,IF(BL42="1",0.5,IF(BL42="2",1,0)))*$F42*$F$34*20))</f>
        <v/>
      </c>
      <c r="BN42" s="20">
        <f>IF(BL42="NE","~",IF(BL42="","",""))</f>
        <v/>
      </c>
      <c r="BO42" s="18" t="n"/>
      <c r="BP42" s="19">
        <f>IF(BO42="","",IF(BO42="NE","",IF(BO42="0",0,IF(BO42="1",0.5,IF(BO42="2",1,0)))*$F42*$F$34*20))</f>
        <v/>
      </c>
      <c r="BQ42" s="20">
        <f>IF(BO42="NE","~",IF(BO42="","",""))</f>
        <v/>
      </c>
      <c r="BR42" s="18" t="n"/>
      <c r="BS42" s="19">
        <f>IF(BR42="","",IF(BR42="NE","",IF(BR42="0",0,IF(BR42="1",0.5,IF(BR42="2",1,0)))*$F42*$F$34*20))</f>
        <v/>
      </c>
      <c r="BT42" s="20">
        <f>IF(BR42="NE","~",IF(BR42="","",""))</f>
        <v/>
      </c>
      <c r="BU42" s="18" t="n"/>
      <c r="BV42" s="19">
        <f>IF(BU42="","",IF(BU42="NE","",IF(BU42="0",0,IF(BU42="1",0.5,IF(BU42="2",1,0)))*$F42*$F$34*20))</f>
        <v/>
      </c>
      <c r="BW42" s="20">
        <f>IF(BU42="NE","~",IF(BU42="","",""))</f>
        <v/>
      </c>
      <c r="BX42" s="18" t="n"/>
      <c r="BY42" s="19">
        <f>IF(BX42="","",IF(BX42="NE","",IF(BX42="0",0,IF(BX42="1",0.5,IF(BX42="2",1,0)))*$F42*$F$34*20))</f>
        <v/>
      </c>
      <c r="BZ42" s="20">
        <f>IF(BX42="NE","~",IF(BX42="","",""))</f>
        <v/>
      </c>
      <c r="CA42" s="18" t="n"/>
      <c r="CB42" s="19">
        <f>IF(CA42="","",IF(CA42="NE","",IF(CA42="0",0,IF(CA42="1",0.5,IF(CA42="2",1,0)))*$F42*$F$34*20))</f>
        <v/>
      </c>
      <c r="CC42" s="20">
        <f>IF(CA42="NE","~",IF(CA42="","",""))</f>
        <v/>
      </c>
      <c r="CD42" s="18" t="n"/>
      <c r="CE42" s="19">
        <f>IF(CD42="","",IF(CD42="NE","",IF(CD42="0",0,IF(CD42="1",0.5,IF(CD42="2",1,0)))*$F42*$F$34*20))</f>
        <v/>
      </c>
      <c r="CF42" s="20">
        <f>IF(CD42="NE","~",IF(CD42="","",""))</f>
        <v/>
      </c>
      <c r="CG42" s="18" t="n"/>
      <c r="CH42" s="19">
        <f>IF(CG42="","",IF(CG42="NE","",IF(CG42="0",0,IF(CG42="1",0.5,IF(CG42="2",1,0)))*$F42*$F$34*20))</f>
        <v/>
      </c>
      <c r="CI42" s="20">
        <f>IF(CG42="NE","~",IF(CG42="","",""))</f>
        <v/>
      </c>
      <c r="CJ42" s="18" t="n"/>
      <c r="CK42" s="19">
        <f>IF(CJ42="","",IF(CJ42="NE","",IF(CJ42="0",0,IF(CJ42="1",0.5,IF(CJ42="2",1,0)))*$F42*$F$34*20))</f>
        <v/>
      </c>
      <c r="CL42" s="20">
        <f>IF(CJ42="NE","~",IF(CJ42="","",""))</f>
        <v/>
      </c>
      <c r="CM42" s="18" t="n"/>
      <c r="CN42" s="19">
        <f>IF(CM42="","",IF(CM42="NE","",IF(CM42="0",0,IF(CM42="1",0.5,IF(CM42="2",1,0)))*$F42*$F$34*20))</f>
        <v/>
      </c>
      <c r="CO42" s="20">
        <f>IF(CM42="NE","~",IF(CM42="","",""))</f>
        <v/>
      </c>
      <c r="CP42" s="18" t="n"/>
      <c r="CQ42" s="19">
        <f>IF(CP42="","",IF(CP42="NE","",IF(CP42="0",0,IF(CP42="1",0.5,IF(CP42="2",1,0)))*$F42*$F$34*20))</f>
        <v/>
      </c>
      <c r="CR42" s="20">
        <f>IF(CP42="NE","~",IF(CP42="","",""))</f>
        <v/>
      </c>
    </row>
    <row r="44">
      <c r="E44" s="21" t="inlineStr">
        <is>
          <t>Audit Σ(poids critères) par partie (doit valoir 1,00 pour chaque P)</t>
        </is>
      </c>
      <c r="F44" s="22">
        <f>SUM($F$5:$F$11)+SUM($F$13:$F$20)+SUM($F$22:$F$25)+SUM($F$27:$F$33)+SUM($F$35:$F$42)</f>
        <v/>
      </c>
    </row>
    <row r="46">
      <c r="E46" s="23" t="inlineStr">
        <is>
          <t>NOTE FINALE / 20</t>
        </is>
      </c>
      <c r="H46" s="24">
        <f>IFERROR(SUM(H4:H42)/(SUMPRODUCT(($F$5:$F$11)*(G5:G11&lt;&gt;"")*(G5:G11&lt;&gt;"NE"))*$F$4+SUMPRODUCT(($F$13:$F$20)*(G13:G20&lt;&gt;"")*(G13:G20&lt;&gt;"NE"))*$F$12+SUMPRODUCT(($F$22:$F$25)*(G22:G25&lt;&gt;"")*(G22:G25&lt;&gt;"NE"))*$F$21+SUMPRODUCT(($F$27:$F$33)*(G27:G33&lt;&gt;"")*(G27:G33&lt;&gt;"NE"))*$F$26+SUMPRODUCT(($F$35:$F$42)*(G35:G42&lt;&gt;"")*(G35:G42&lt;&gt;"NE"))*$F$34),"")</f>
        <v/>
      </c>
      <c r="K46" s="24">
        <f>IFERROR(SUM(K4:K42)/(SUMPRODUCT(($F$5:$F$11)*(J5:J11&lt;&gt;"")*(J5:J11&lt;&gt;"NE"))*$F$4+SUMPRODUCT(($F$13:$F$20)*(J13:J20&lt;&gt;"")*(J13:J20&lt;&gt;"NE"))*$F$12+SUMPRODUCT(($F$22:$F$25)*(J22:J25&lt;&gt;"")*(J22:J25&lt;&gt;"NE"))*$F$21+SUMPRODUCT(($F$27:$F$33)*(J27:J33&lt;&gt;"")*(J27:J33&lt;&gt;"NE"))*$F$26+SUMPRODUCT(($F$35:$F$42)*(J35:J42&lt;&gt;"")*(J35:J42&lt;&gt;"NE"))*$F$34),"")</f>
        <v/>
      </c>
      <c r="N46" s="24">
        <f>IFERROR(SUM(N4:N42)/(SUMPRODUCT(($F$5:$F$11)*(M5:M11&lt;&gt;"")*(M5:M11&lt;&gt;"NE"))*$F$4+SUMPRODUCT(($F$13:$F$20)*(M13:M20&lt;&gt;"")*(M13:M20&lt;&gt;"NE"))*$F$12+SUMPRODUCT(($F$22:$F$25)*(M22:M25&lt;&gt;"")*(M22:M25&lt;&gt;"NE"))*$F$21+SUMPRODUCT(($F$27:$F$33)*(M27:M33&lt;&gt;"")*(M27:M33&lt;&gt;"NE"))*$F$26+SUMPRODUCT(($F$35:$F$42)*(M35:M42&lt;&gt;"")*(M35:M42&lt;&gt;"NE"))*$F$34),"")</f>
        <v/>
      </c>
      <c r="Q46" s="24">
        <f>IFERROR(SUM(Q4:Q42)/(SUMPRODUCT(($F$5:$F$11)*(P5:P11&lt;&gt;"")*(P5:P11&lt;&gt;"NE"))*$F$4+SUMPRODUCT(($F$13:$F$20)*(P13:P20&lt;&gt;"")*(P13:P20&lt;&gt;"NE"))*$F$12+SUMPRODUCT(($F$22:$F$25)*(P22:P25&lt;&gt;"")*(P22:P25&lt;&gt;"NE"))*$F$21+SUMPRODUCT(($F$27:$F$33)*(P27:P33&lt;&gt;"")*(P27:P33&lt;&gt;"NE"))*$F$26+SUMPRODUCT(($F$35:$F$42)*(P35:P42&lt;&gt;"")*(P35:P42&lt;&gt;"NE"))*$F$34),"")</f>
        <v/>
      </c>
      <c r="T46" s="24">
        <f>IFERROR(SUM(T4:T42)/(SUMPRODUCT(($F$5:$F$11)*(S5:S11&lt;&gt;"")*(S5:S11&lt;&gt;"NE"))*$F$4+SUMPRODUCT(($F$13:$F$20)*(S13:S20&lt;&gt;"")*(S13:S20&lt;&gt;"NE"))*$F$12+SUMPRODUCT(($F$22:$F$25)*(S22:S25&lt;&gt;"")*(S22:S25&lt;&gt;"NE"))*$F$21+SUMPRODUCT(($F$27:$F$33)*(S27:S33&lt;&gt;"")*(S27:S33&lt;&gt;"NE"))*$F$26+SUMPRODUCT(($F$35:$F$42)*(S35:S42&lt;&gt;"")*(S35:S42&lt;&gt;"NE"))*$F$34),"")</f>
        <v/>
      </c>
      <c r="W46" s="24">
        <f>IFERROR(SUM(W4:W42)/(SUMPRODUCT(($F$5:$F$11)*(V5:V11&lt;&gt;"")*(V5:V11&lt;&gt;"NE"))*$F$4+SUMPRODUCT(($F$13:$F$20)*(V13:V20&lt;&gt;"")*(V13:V20&lt;&gt;"NE"))*$F$12+SUMPRODUCT(($F$22:$F$25)*(V22:V25&lt;&gt;"")*(V22:V25&lt;&gt;"NE"))*$F$21+SUMPRODUCT(($F$27:$F$33)*(V27:V33&lt;&gt;"")*(V27:V33&lt;&gt;"NE"))*$F$26+SUMPRODUCT(($F$35:$F$42)*(V35:V42&lt;&gt;"")*(V35:V42&lt;&gt;"NE"))*$F$34),"")</f>
        <v/>
      </c>
      <c r="Z46" s="24">
        <f>IFERROR(SUM(Z4:Z42)/(SUMPRODUCT(($F$5:$F$11)*(Y5:Y11&lt;&gt;"")*(Y5:Y11&lt;&gt;"NE"))*$F$4+SUMPRODUCT(($F$13:$F$20)*(Y13:Y20&lt;&gt;"")*(Y13:Y20&lt;&gt;"NE"))*$F$12+SUMPRODUCT(($F$22:$F$25)*(Y22:Y25&lt;&gt;"")*(Y22:Y25&lt;&gt;"NE"))*$F$21+SUMPRODUCT(($F$27:$F$33)*(Y27:Y33&lt;&gt;"")*(Y27:Y33&lt;&gt;"NE"))*$F$26+SUMPRODUCT(($F$35:$F$42)*(Y35:Y42&lt;&gt;"")*(Y35:Y42&lt;&gt;"NE"))*$F$34),"")</f>
        <v/>
      </c>
      <c r="AC46" s="24">
        <f>IFERROR(SUM(AC4:AC42)/(SUMPRODUCT(($F$5:$F$11)*(AB5:AB11&lt;&gt;"")*(AB5:AB11&lt;&gt;"NE"))*$F$4+SUMPRODUCT(($F$13:$F$20)*(AB13:AB20&lt;&gt;"")*(AB13:AB20&lt;&gt;"NE"))*$F$12+SUMPRODUCT(($F$22:$F$25)*(AB22:AB25&lt;&gt;"")*(AB22:AB25&lt;&gt;"NE"))*$F$21+SUMPRODUCT(($F$27:$F$33)*(AB27:AB33&lt;&gt;"")*(AB27:AB33&lt;&gt;"NE"))*$F$26+SUMPRODUCT(($F$35:$F$42)*(AB35:AB42&lt;&gt;"")*(AB35:AB42&lt;&gt;"NE"))*$F$34),"")</f>
        <v/>
      </c>
      <c r="AF46" s="24">
        <f>IFERROR(SUM(AF4:AF42)/(SUMPRODUCT(($F$5:$F$11)*(AE5:AE11&lt;&gt;"")*(AE5:AE11&lt;&gt;"NE"))*$F$4+SUMPRODUCT(($F$13:$F$20)*(AE13:AE20&lt;&gt;"")*(AE13:AE20&lt;&gt;"NE"))*$F$12+SUMPRODUCT(($F$22:$F$25)*(AE22:AE25&lt;&gt;"")*(AE22:AE25&lt;&gt;"NE"))*$F$21+SUMPRODUCT(($F$27:$F$33)*(AE27:AE33&lt;&gt;"")*(AE27:AE33&lt;&gt;"NE"))*$F$26+SUMPRODUCT(($F$35:$F$42)*(AE35:AE42&lt;&gt;"")*(AE35:AE42&lt;&gt;"NE"))*$F$34),"")</f>
        <v/>
      </c>
      <c r="AI46" s="24">
        <f>IFERROR(SUM(AI4:AI42)/(SUMPRODUCT(($F$5:$F$11)*(AH5:AH11&lt;&gt;"")*(AH5:AH11&lt;&gt;"NE"))*$F$4+SUMPRODUCT(($F$13:$F$20)*(AH13:AH20&lt;&gt;"")*(AH13:AH20&lt;&gt;"NE"))*$F$12+SUMPRODUCT(($F$22:$F$25)*(AH22:AH25&lt;&gt;"")*(AH22:AH25&lt;&gt;"NE"))*$F$21+SUMPRODUCT(($F$27:$F$33)*(AH27:AH33&lt;&gt;"")*(AH27:AH33&lt;&gt;"NE"))*$F$26+SUMPRODUCT(($F$35:$F$42)*(AH35:AH42&lt;&gt;"")*(AH35:AH42&lt;&gt;"NE"))*$F$34),"")</f>
        <v/>
      </c>
      <c r="AL46" s="24">
        <f>IFERROR(SUM(AL4:AL42)/(SUMPRODUCT(($F$5:$F$11)*(AK5:AK11&lt;&gt;"")*(AK5:AK11&lt;&gt;"NE"))*$F$4+SUMPRODUCT(($F$13:$F$20)*(AK13:AK20&lt;&gt;"")*(AK13:AK20&lt;&gt;"NE"))*$F$12+SUMPRODUCT(($F$22:$F$25)*(AK22:AK25&lt;&gt;"")*(AK22:AK25&lt;&gt;"NE"))*$F$21+SUMPRODUCT(($F$27:$F$33)*(AK27:AK33&lt;&gt;"")*(AK27:AK33&lt;&gt;"NE"))*$F$26+SUMPRODUCT(($F$35:$F$42)*(AK35:AK42&lt;&gt;"")*(AK35:AK42&lt;&gt;"NE"))*$F$34),"")</f>
        <v/>
      </c>
      <c r="AO46" s="24">
        <f>IFERROR(SUM(AO4:AO42)/(SUMPRODUCT(($F$5:$F$11)*(AN5:AN11&lt;&gt;"")*(AN5:AN11&lt;&gt;"NE"))*$F$4+SUMPRODUCT(($F$13:$F$20)*(AN13:AN20&lt;&gt;"")*(AN13:AN20&lt;&gt;"NE"))*$F$12+SUMPRODUCT(($F$22:$F$25)*(AN22:AN25&lt;&gt;"")*(AN22:AN25&lt;&gt;"NE"))*$F$21+SUMPRODUCT(($F$27:$F$33)*(AN27:AN33&lt;&gt;"")*(AN27:AN33&lt;&gt;"NE"))*$F$26+SUMPRODUCT(($F$35:$F$42)*(AN35:AN42&lt;&gt;"")*(AN35:AN42&lt;&gt;"NE"))*$F$34),"")</f>
        <v/>
      </c>
      <c r="AR46" s="24">
        <f>IFERROR(SUM(AR4:AR42)/(SUMPRODUCT(($F$5:$F$11)*(AQ5:AQ11&lt;&gt;"")*(AQ5:AQ11&lt;&gt;"NE"))*$F$4+SUMPRODUCT(($F$13:$F$20)*(AQ13:AQ20&lt;&gt;"")*(AQ13:AQ20&lt;&gt;"NE"))*$F$12+SUMPRODUCT(($F$22:$F$25)*(AQ22:AQ25&lt;&gt;"")*(AQ22:AQ25&lt;&gt;"NE"))*$F$21+SUMPRODUCT(($F$27:$F$33)*(AQ27:AQ33&lt;&gt;"")*(AQ27:AQ33&lt;&gt;"NE"))*$F$26+SUMPRODUCT(($F$35:$F$42)*(AQ35:AQ42&lt;&gt;"")*(AQ35:AQ42&lt;&gt;"NE"))*$F$34),"")</f>
        <v/>
      </c>
      <c r="AU46" s="24">
        <f>IFERROR(SUM(AU4:AU42)/(SUMPRODUCT(($F$5:$F$11)*(AT5:AT11&lt;&gt;"")*(AT5:AT11&lt;&gt;"NE"))*$F$4+SUMPRODUCT(($F$13:$F$20)*(AT13:AT20&lt;&gt;"")*(AT13:AT20&lt;&gt;"NE"))*$F$12+SUMPRODUCT(($F$22:$F$25)*(AT22:AT25&lt;&gt;"")*(AT22:AT25&lt;&gt;"NE"))*$F$21+SUMPRODUCT(($F$27:$F$33)*(AT27:AT33&lt;&gt;"")*(AT27:AT33&lt;&gt;"NE"))*$F$26+SUMPRODUCT(($F$35:$F$42)*(AT35:AT42&lt;&gt;"")*(AT35:AT42&lt;&gt;"NE"))*$F$34),"")</f>
        <v/>
      </c>
      <c r="AX46" s="24">
        <f>IFERROR(SUM(AX4:AX42)/(SUMPRODUCT(($F$5:$F$11)*(AW5:AW11&lt;&gt;"")*(AW5:AW11&lt;&gt;"NE"))*$F$4+SUMPRODUCT(($F$13:$F$20)*(AW13:AW20&lt;&gt;"")*(AW13:AW20&lt;&gt;"NE"))*$F$12+SUMPRODUCT(($F$22:$F$25)*(AW22:AW25&lt;&gt;"")*(AW22:AW25&lt;&gt;"NE"))*$F$21+SUMPRODUCT(($F$27:$F$33)*(AW27:AW33&lt;&gt;"")*(AW27:AW33&lt;&gt;"NE"))*$F$26+SUMPRODUCT(($F$35:$F$42)*(AW35:AW42&lt;&gt;"")*(AW35:AW42&lt;&gt;"NE"))*$F$34),"")</f>
        <v/>
      </c>
      <c r="BA46" s="24">
        <f>IFERROR(SUM(BA4:BA42)/(SUMPRODUCT(($F$5:$F$11)*(AZ5:AZ11&lt;&gt;"")*(AZ5:AZ11&lt;&gt;"NE"))*$F$4+SUMPRODUCT(($F$13:$F$20)*(AZ13:AZ20&lt;&gt;"")*(AZ13:AZ20&lt;&gt;"NE"))*$F$12+SUMPRODUCT(($F$22:$F$25)*(AZ22:AZ25&lt;&gt;"")*(AZ22:AZ25&lt;&gt;"NE"))*$F$21+SUMPRODUCT(($F$27:$F$33)*(AZ27:AZ33&lt;&gt;"")*(AZ27:AZ33&lt;&gt;"NE"))*$F$26+SUMPRODUCT(($F$35:$F$42)*(AZ35:AZ42&lt;&gt;"")*(AZ35:AZ42&lt;&gt;"NE"))*$F$34),"")</f>
        <v/>
      </c>
      <c r="BD46" s="24">
        <f>IFERROR(SUM(BD4:BD42)/(SUMPRODUCT(($F$5:$F$11)*(BC5:BC11&lt;&gt;"")*(BC5:BC11&lt;&gt;"NE"))*$F$4+SUMPRODUCT(($F$13:$F$20)*(BC13:BC20&lt;&gt;"")*(BC13:BC20&lt;&gt;"NE"))*$F$12+SUMPRODUCT(($F$22:$F$25)*(BC22:BC25&lt;&gt;"")*(BC22:BC25&lt;&gt;"NE"))*$F$21+SUMPRODUCT(($F$27:$F$33)*(BC27:BC33&lt;&gt;"")*(BC27:BC33&lt;&gt;"NE"))*$F$26+SUMPRODUCT(($F$35:$F$42)*(BC35:BC42&lt;&gt;"")*(BC35:BC42&lt;&gt;"NE"))*$F$34),"")</f>
        <v/>
      </c>
      <c r="BG46" s="24">
        <f>IFERROR(SUM(BG4:BG42)/(SUMPRODUCT(($F$5:$F$11)*(BF5:BF11&lt;&gt;"")*(BF5:BF11&lt;&gt;"NE"))*$F$4+SUMPRODUCT(($F$13:$F$20)*(BF13:BF20&lt;&gt;"")*(BF13:BF20&lt;&gt;"NE"))*$F$12+SUMPRODUCT(($F$22:$F$25)*(BF22:BF25&lt;&gt;"")*(BF22:BF25&lt;&gt;"NE"))*$F$21+SUMPRODUCT(($F$27:$F$33)*(BF27:BF33&lt;&gt;"")*(BF27:BF33&lt;&gt;"NE"))*$F$26+SUMPRODUCT(($F$35:$F$42)*(BF35:BF42&lt;&gt;"")*(BF35:BF42&lt;&gt;"NE"))*$F$34),"")</f>
        <v/>
      </c>
      <c r="BJ46" s="24">
        <f>IFERROR(SUM(BJ4:BJ42)/(SUMPRODUCT(($F$5:$F$11)*(BI5:BI11&lt;&gt;"")*(BI5:BI11&lt;&gt;"NE"))*$F$4+SUMPRODUCT(($F$13:$F$20)*(BI13:BI20&lt;&gt;"")*(BI13:BI20&lt;&gt;"NE"))*$F$12+SUMPRODUCT(($F$22:$F$25)*(BI22:BI25&lt;&gt;"")*(BI22:BI25&lt;&gt;"NE"))*$F$21+SUMPRODUCT(($F$27:$F$33)*(BI27:BI33&lt;&gt;"")*(BI27:BI33&lt;&gt;"NE"))*$F$26+SUMPRODUCT(($F$35:$F$42)*(BI35:BI42&lt;&gt;"")*(BI35:BI42&lt;&gt;"NE"))*$F$34),"")</f>
        <v/>
      </c>
      <c r="BM46" s="24">
        <f>IFERROR(SUM(BM4:BM42)/(SUMPRODUCT(($F$5:$F$11)*(BL5:BL11&lt;&gt;"")*(BL5:BL11&lt;&gt;"NE"))*$F$4+SUMPRODUCT(($F$13:$F$20)*(BL13:BL20&lt;&gt;"")*(BL13:BL20&lt;&gt;"NE"))*$F$12+SUMPRODUCT(($F$22:$F$25)*(BL22:BL25&lt;&gt;"")*(BL22:BL25&lt;&gt;"NE"))*$F$21+SUMPRODUCT(($F$27:$F$33)*(BL27:BL33&lt;&gt;"")*(BL27:BL33&lt;&gt;"NE"))*$F$26+SUMPRODUCT(($F$35:$F$42)*(BL35:BL42&lt;&gt;"")*(BL35:BL42&lt;&gt;"NE"))*$F$34),"")</f>
        <v/>
      </c>
      <c r="BP46" s="24">
        <f>IFERROR(SUM(BP4:BP42)/(SUMPRODUCT(($F$5:$F$11)*(BO5:BO11&lt;&gt;"")*(BO5:BO11&lt;&gt;"NE"))*$F$4+SUMPRODUCT(($F$13:$F$20)*(BO13:BO20&lt;&gt;"")*(BO13:BO20&lt;&gt;"NE"))*$F$12+SUMPRODUCT(($F$22:$F$25)*(BO22:BO25&lt;&gt;"")*(BO22:BO25&lt;&gt;"NE"))*$F$21+SUMPRODUCT(($F$27:$F$33)*(BO27:BO33&lt;&gt;"")*(BO27:BO33&lt;&gt;"NE"))*$F$26+SUMPRODUCT(($F$35:$F$42)*(BO35:BO42&lt;&gt;"")*(BO35:BO42&lt;&gt;"NE"))*$F$34),"")</f>
        <v/>
      </c>
      <c r="BS46" s="24">
        <f>IFERROR(SUM(BS4:BS42)/(SUMPRODUCT(($F$5:$F$11)*(BR5:BR11&lt;&gt;"")*(BR5:BR11&lt;&gt;"NE"))*$F$4+SUMPRODUCT(($F$13:$F$20)*(BR13:BR20&lt;&gt;"")*(BR13:BR20&lt;&gt;"NE"))*$F$12+SUMPRODUCT(($F$22:$F$25)*(BR22:BR25&lt;&gt;"")*(BR22:BR25&lt;&gt;"NE"))*$F$21+SUMPRODUCT(($F$27:$F$33)*(BR27:BR33&lt;&gt;"")*(BR27:BR33&lt;&gt;"NE"))*$F$26+SUMPRODUCT(($F$35:$F$42)*(BR35:BR42&lt;&gt;"")*(BR35:BR42&lt;&gt;"NE"))*$F$34),"")</f>
        <v/>
      </c>
      <c r="BV46" s="24">
        <f>IFERROR(SUM(BV4:BV42)/(SUMPRODUCT(($F$5:$F$11)*(BU5:BU11&lt;&gt;"")*(BU5:BU11&lt;&gt;"NE"))*$F$4+SUMPRODUCT(($F$13:$F$20)*(BU13:BU20&lt;&gt;"")*(BU13:BU20&lt;&gt;"NE"))*$F$12+SUMPRODUCT(($F$22:$F$25)*(BU22:BU25&lt;&gt;"")*(BU22:BU25&lt;&gt;"NE"))*$F$21+SUMPRODUCT(($F$27:$F$33)*(BU27:BU33&lt;&gt;"")*(BU27:BU33&lt;&gt;"NE"))*$F$26+SUMPRODUCT(($F$35:$F$42)*(BU35:BU42&lt;&gt;"")*(BU35:BU42&lt;&gt;"NE"))*$F$34),"")</f>
        <v/>
      </c>
      <c r="BY46" s="24">
        <f>IFERROR(SUM(BY4:BY42)/(SUMPRODUCT(($F$5:$F$11)*(BX5:BX11&lt;&gt;"")*(BX5:BX11&lt;&gt;"NE"))*$F$4+SUMPRODUCT(($F$13:$F$20)*(BX13:BX20&lt;&gt;"")*(BX13:BX20&lt;&gt;"NE"))*$F$12+SUMPRODUCT(($F$22:$F$25)*(BX22:BX25&lt;&gt;"")*(BX22:BX25&lt;&gt;"NE"))*$F$21+SUMPRODUCT(($F$27:$F$33)*(BX27:BX33&lt;&gt;"")*(BX27:BX33&lt;&gt;"NE"))*$F$26+SUMPRODUCT(($F$35:$F$42)*(BX35:BX42&lt;&gt;"")*(BX35:BX42&lt;&gt;"NE"))*$F$34),"")</f>
        <v/>
      </c>
      <c r="CB46" s="24">
        <f>IFERROR(SUM(CB4:CB42)/(SUMPRODUCT(($F$5:$F$11)*(CA5:CA11&lt;&gt;"")*(CA5:CA11&lt;&gt;"NE"))*$F$4+SUMPRODUCT(($F$13:$F$20)*(CA13:CA20&lt;&gt;"")*(CA13:CA20&lt;&gt;"NE"))*$F$12+SUMPRODUCT(($F$22:$F$25)*(CA22:CA25&lt;&gt;"")*(CA22:CA25&lt;&gt;"NE"))*$F$21+SUMPRODUCT(($F$27:$F$33)*(CA27:CA33&lt;&gt;"")*(CA27:CA33&lt;&gt;"NE"))*$F$26+SUMPRODUCT(($F$35:$F$42)*(CA35:CA42&lt;&gt;"")*(CA35:CA42&lt;&gt;"NE"))*$F$34),"")</f>
        <v/>
      </c>
      <c r="CE46" s="24">
        <f>IFERROR(SUM(CE4:CE42)/(SUMPRODUCT(($F$5:$F$11)*(CD5:CD11&lt;&gt;"")*(CD5:CD11&lt;&gt;"NE"))*$F$4+SUMPRODUCT(($F$13:$F$20)*(CD13:CD20&lt;&gt;"")*(CD13:CD20&lt;&gt;"NE"))*$F$12+SUMPRODUCT(($F$22:$F$25)*(CD22:CD25&lt;&gt;"")*(CD22:CD25&lt;&gt;"NE"))*$F$21+SUMPRODUCT(($F$27:$F$33)*(CD27:CD33&lt;&gt;"")*(CD27:CD33&lt;&gt;"NE"))*$F$26+SUMPRODUCT(($F$35:$F$42)*(CD35:CD42&lt;&gt;"")*(CD35:CD42&lt;&gt;"NE"))*$F$34),"")</f>
        <v/>
      </c>
      <c r="CH46" s="24">
        <f>IFERROR(SUM(CH4:CH42)/(SUMPRODUCT(($F$5:$F$11)*(CG5:CG11&lt;&gt;"")*(CG5:CG11&lt;&gt;"NE"))*$F$4+SUMPRODUCT(($F$13:$F$20)*(CG13:CG20&lt;&gt;"")*(CG13:CG20&lt;&gt;"NE"))*$F$12+SUMPRODUCT(($F$22:$F$25)*(CG22:CG25&lt;&gt;"")*(CG22:CG25&lt;&gt;"NE"))*$F$21+SUMPRODUCT(($F$27:$F$33)*(CG27:CG33&lt;&gt;"")*(CG27:CG33&lt;&gt;"NE"))*$F$26+SUMPRODUCT(($F$35:$F$42)*(CG35:CG42&lt;&gt;"")*(CG35:CG42&lt;&gt;"NE"))*$F$34),"")</f>
        <v/>
      </c>
      <c r="CK46" s="24">
        <f>IFERROR(SUM(CK4:CK42)/(SUMPRODUCT(($F$5:$F$11)*(CJ5:CJ11&lt;&gt;"")*(CJ5:CJ11&lt;&gt;"NE"))*$F$4+SUMPRODUCT(($F$13:$F$20)*(CJ13:CJ20&lt;&gt;"")*(CJ13:CJ20&lt;&gt;"NE"))*$F$12+SUMPRODUCT(($F$22:$F$25)*(CJ22:CJ25&lt;&gt;"")*(CJ22:CJ25&lt;&gt;"NE"))*$F$21+SUMPRODUCT(($F$27:$F$33)*(CJ27:CJ33&lt;&gt;"")*(CJ27:CJ33&lt;&gt;"NE"))*$F$26+SUMPRODUCT(($F$35:$F$42)*(CJ35:CJ42&lt;&gt;"")*(CJ35:CJ42&lt;&gt;"NE"))*$F$34),"")</f>
        <v/>
      </c>
      <c r="CN46" s="24">
        <f>IFERROR(SUM(CN4:CN42)/(SUMPRODUCT(($F$5:$F$11)*(CM5:CM11&lt;&gt;"")*(CM5:CM11&lt;&gt;"NE"))*$F$4+SUMPRODUCT(($F$13:$F$20)*(CM13:CM20&lt;&gt;"")*(CM13:CM20&lt;&gt;"NE"))*$F$12+SUMPRODUCT(($F$22:$F$25)*(CM22:CM25&lt;&gt;"")*(CM22:CM25&lt;&gt;"NE"))*$F$21+SUMPRODUCT(($F$27:$F$33)*(CM27:CM33&lt;&gt;"")*(CM27:CM33&lt;&gt;"NE"))*$F$26+SUMPRODUCT(($F$35:$F$42)*(CM35:CM42&lt;&gt;"")*(CM35:CM42&lt;&gt;"NE"))*$F$34),"")</f>
        <v/>
      </c>
      <c r="CQ46" s="24">
        <f>IFERROR(SUM(CQ4:CQ42)/(SUMPRODUCT(($F$5:$F$11)*(CP5:CP11&lt;&gt;"")*(CP5:CP11&lt;&gt;"NE"))*$F$4+SUMPRODUCT(($F$13:$F$20)*(CP13:CP20&lt;&gt;"")*(CP13:CP20&lt;&gt;"NE"))*$F$12+SUMPRODUCT(($F$22:$F$25)*(CP22:CP25&lt;&gt;"")*(CP22:CP25&lt;&gt;"NE"))*$F$21+SUMPRODUCT(($F$27:$F$33)*(CP27:CP33&lt;&gt;"")*(CP27:CP33&lt;&gt;"NE"))*$F$26+SUMPRODUCT(($F$35:$F$42)*(CP35:CP42&lt;&gt;"")*(CP35:CP42&lt;&gt;"NE"))*$F$34),"")</f>
        <v/>
      </c>
    </row>
    <row r="47">
      <c r="E47" s="23" t="inlineStr">
        <is>
          <t>NOTE FINALE / 12</t>
        </is>
      </c>
      <c r="H47" s="25">
        <f>IF(H46="","",H46*12/20)</f>
        <v/>
      </c>
      <c r="K47" s="25">
        <f>IF(K46="","",K46*12/20)</f>
        <v/>
      </c>
      <c r="N47" s="25">
        <f>IF(N46="","",N46*12/20)</f>
        <v/>
      </c>
      <c r="Q47" s="25">
        <f>IF(Q46="","",Q46*12/20)</f>
        <v/>
      </c>
      <c r="T47" s="25">
        <f>IF(T46="","",T46*12/20)</f>
        <v/>
      </c>
      <c r="W47" s="25">
        <f>IF(W46="","",W46*12/20)</f>
        <v/>
      </c>
      <c r="Z47" s="25">
        <f>IF(Z46="","",Z46*12/20)</f>
        <v/>
      </c>
      <c r="AC47" s="25">
        <f>IF(AC46="","",AC46*12/20)</f>
        <v/>
      </c>
      <c r="AF47" s="25">
        <f>IF(AF46="","",AF46*12/20)</f>
        <v/>
      </c>
      <c r="AI47" s="25">
        <f>IF(AI46="","",AI46*12/20)</f>
        <v/>
      </c>
      <c r="AL47" s="25">
        <f>IF(AL46="","",AL46*12/20)</f>
        <v/>
      </c>
      <c r="AO47" s="25">
        <f>IF(AO46="","",AO46*12/20)</f>
        <v/>
      </c>
      <c r="AR47" s="25">
        <f>IF(AR46="","",AR46*12/20)</f>
        <v/>
      </c>
      <c r="AU47" s="25">
        <f>IF(AU46="","",AU46*12/20)</f>
        <v/>
      </c>
      <c r="AX47" s="25">
        <f>IF(AX46="","",AX46*12/20)</f>
        <v/>
      </c>
      <c r="BA47" s="25">
        <f>IF(BA46="","",BA46*12/20)</f>
        <v/>
      </c>
      <c r="BD47" s="25">
        <f>IF(BD46="","",BD46*12/20)</f>
        <v/>
      </c>
      <c r="BG47" s="25">
        <f>IF(BG46="","",BG46*12/20)</f>
        <v/>
      </c>
      <c r="BJ47" s="25">
        <f>IF(BJ46="","",BJ46*12/20)</f>
        <v/>
      </c>
      <c r="BM47" s="25">
        <f>IF(BM46="","",BM46*12/20)</f>
        <v/>
      </c>
      <c r="BP47" s="25">
        <f>IF(BP46="","",BP46*12/20)</f>
        <v/>
      </c>
      <c r="BS47" s="25">
        <f>IF(BS46="","",BS46*12/20)</f>
        <v/>
      </c>
      <c r="BV47" s="25">
        <f>IF(BV46="","",BV46*12/20)</f>
        <v/>
      </c>
      <c r="BY47" s="25">
        <f>IF(BY46="","",BY46*12/20)</f>
        <v/>
      </c>
      <c r="CB47" s="25">
        <f>IF(CB46="","",CB46*12/20)</f>
        <v/>
      </c>
      <c r="CE47" s="25">
        <f>IF(CE46="","",CE46*12/20)</f>
        <v/>
      </c>
      <c r="CH47" s="25">
        <f>IF(CH46="","",CH46*12/20)</f>
        <v/>
      </c>
      <c r="CK47" s="25">
        <f>IF(CK46="","",CK46*12/20)</f>
        <v/>
      </c>
      <c r="CN47" s="25">
        <f>IF(CN46="","",CN46*12/20)</f>
        <v/>
      </c>
      <c r="CQ47" s="25">
        <f>IF(CQ46="","",CQ46*12/20)</f>
        <v/>
      </c>
    </row>
    <row r="49">
      <c r="E49" s="21" t="inlineStr">
        <is>
          <t>% acquis (saisies = '2')</t>
        </is>
      </c>
      <c r="F49" s="26">
        <f>IFERROR((COUNTIF(G4:G42,"2")+COUNTIF(J4:J42,"2")+COUNTIF(M4:M42,"2")+COUNTIF(P4:P42,"2")+COUNTIF(S4:S42,"2")+COUNTIF(V4:V42,"2")+COUNTIF(Y4:Y42,"2")+COUNTIF(AB4:AB42,"2")+COUNTIF(AE4:AE42,"2")+COUNTIF(AH4:AH42,"2")+COUNTIF(AK4:AK42,"2")+COUNTIF(AN4:AN42,"2")+COUNTIF(AQ4:AQ42,"2")+COUNTIF(AT4:AT42,"2")+COUNTIF(AW4:AW42,"2")+COUNTIF(AZ4:AZ42,"2")+COUNTIF(BC4:BC42,"2")+COUNTIF(BF4:BF42,"2")+COUNTIF(BI4:BI42,"2")+COUNTIF(BL4:BL42,"2")+COUNTIF(BO4:BO42,"2")+COUNTIF(BR4:BR42,"2")+COUNTIF(BU4:BU42,"2")+COUNTIF(BX4:BX42,"2")+COUNTIF(CA4:CA42,"2")+COUNTIF(CD4:CD42,"2")+COUNTIF(CG4:CG42,"2")+COUNTIF(CJ4:CJ42,"2")+COUNTIF(CM4:CM42,"2")+COUNTIF(CP4:CP42,"2"))/((COUNTA(G4:G42)-COUNTIF(G4:G42,"NE"))+(COUNTA(J4:J42)-COUNTIF(J4:J42,"NE"))+(COUNTA(M4:M42)-COUNTIF(M4:M42,"NE"))+(COUNTA(P4:P42)-COUNTIF(P4:P42,"NE"))+(COUNTA(S4:S42)-COUNTIF(S4:S42,"NE"))+(COUNTA(V4:V42)-COUNTIF(V4:V42,"NE"))+(COUNTA(Y4:Y42)-COUNTIF(Y4:Y42,"NE"))+(COUNTA(AB4:AB42)-COUNTIF(AB4:AB42,"NE"))+(COUNTA(AE4:AE42)-COUNTIF(AE4:AE42,"NE"))+(COUNTA(AH4:AH42)-COUNTIF(AH4:AH42,"NE"))+(COUNTA(AK4:AK42)-COUNTIF(AK4:AK42,"NE"))+(COUNTA(AN4:AN42)-COUNTIF(AN4:AN42,"NE"))+(COUNTA(AQ4:AQ42)-COUNTIF(AQ4:AQ42,"NE"))+(COUNTA(AT4:AT42)-COUNTIF(AT4:AT42,"NE"))+(COUNTA(AW4:AW42)-COUNTIF(AW4:AW42,"NE"))+(COUNTA(AZ4:AZ42)-COUNTIF(AZ4:AZ42,"NE"))+(COUNTA(BC4:BC42)-COUNTIF(BC4:BC42,"NE"))+(COUNTA(BF4:BF42)-COUNTIF(BF4:BF42,"NE"))+(COUNTA(BI4:BI42)-COUNTIF(BI4:BI42,"NE"))+(COUNTA(BL4:BL42)-COUNTIF(BL4:BL42,"NE"))+(COUNTA(BO4:BO42)-COUNTIF(BO4:BO42,"NE"))+(COUNTA(BR4:BR42)-COUNTIF(BR4:BR42,"NE"))+(COUNTA(BU4:BU42)-COUNTIF(BU4:BU42,"NE"))+(COUNTA(BX4:BX42)-COUNTIF(BX4:BX42,"NE"))+(COUNTA(CA4:CA42)-COUNTIF(CA4:CA42,"NE"))+(COUNTA(CD4:CD42)-COUNTIF(CD4:CD42,"NE"))+(COUNTA(CG4:CG42)-COUNTIF(CG4:CG42,"NE"))+(COUNTA(CJ4:CJ42)-COUNTIF(CJ4:CJ42,"NE"))+(COUNTA(CM4:CM42)-COUNTIF(CM4:CM42,"NE"))+(COUNTA(CP4:CP42)-COUNTIF(CP4:CP42,"NE"))),"")</f>
        <v/>
      </c>
    </row>
    <row r="50">
      <c r="E50" s="21" t="inlineStr">
        <is>
          <t>Moyenne classe (note brute pondérée)</t>
        </is>
      </c>
      <c r="F50" s="27">
        <f>IFERROR(AVERAGE(H46,K46,N46,Q46,T46,W46,Z46,AC46,AF46,AI46,AL46,AO46,AR46,AU46,AX46,BA46,BD46,BG46,BJ46,BM46,BP46,BS46,BV46,BY46,CB46,CE46,CH46,CK46,CN46,CQ46),"")</f>
        <v/>
      </c>
    </row>
  </sheetData>
  <sheetProtection selectLockedCells="1" selectUnlockedCells="1" sheet="1" objects="0" insertRows="1" insertHyperlinks="1" autoFilter="1" scenarios="0" formatColumns="0" deleteColumns="1" insertColumns="1" pivotTables="1" deleteRows="1" formatCells="0" formatRows="0" sort="1" password="CE4B"/>
  <mergeCells count="2">
    <mergeCell ref="A2:CR2"/>
    <mergeCell ref="A1:CR1"/>
  </mergeCells>
  <conditionalFormatting sqref="G4:G42">
    <cfRule type="cellIs" priority="1" operator="equal" dxfId="3">
      <formula>"2"</formula>
    </cfRule>
    <cfRule type="cellIs" priority="2" operator="equal" dxfId="4">
      <formula>"0"</formula>
    </cfRule>
    <cfRule type="cellIs" priority="3" operator="equal" dxfId="5">
      <formula>"NE"</formula>
    </cfRule>
  </conditionalFormatting>
  <conditionalFormatting sqref="H46">
    <cfRule type="cellIs" priority="4" operator="lessThan" dxfId="1">
      <formula>10</formula>
    </cfRule>
    <cfRule type="cellIs" priority="5" operator="greaterThanOrEqual" dxfId="2">
      <formula>14</formula>
    </cfRule>
  </conditionalFormatting>
  <conditionalFormatting sqref="J4:J42">
    <cfRule type="cellIs" priority="6" operator="equal" dxfId="3">
      <formula>"2"</formula>
    </cfRule>
    <cfRule type="cellIs" priority="7" operator="equal" dxfId="4">
      <formula>"0"</formula>
    </cfRule>
    <cfRule type="cellIs" priority="8" operator="equal" dxfId="5">
      <formula>"NE"</formula>
    </cfRule>
  </conditionalFormatting>
  <conditionalFormatting sqref="K46">
    <cfRule type="cellIs" priority="9" operator="lessThan" dxfId="1">
      <formula>10</formula>
    </cfRule>
    <cfRule type="cellIs" priority="10" operator="greaterThanOrEqual" dxfId="2">
      <formula>14</formula>
    </cfRule>
  </conditionalFormatting>
  <conditionalFormatting sqref="M4:M42">
    <cfRule type="cellIs" priority="11" operator="equal" dxfId="3">
      <formula>"2"</formula>
    </cfRule>
    <cfRule type="cellIs" priority="12" operator="equal" dxfId="4">
      <formula>"0"</formula>
    </cfRule>
    <cfRule type="cellIs" priority="13" operator="equal" dxfId="5">
      <formula>"NE"</formula>
    </cfRule>
  </conditionalFormatting>
  <conditionalFormatting sqref="N46">
    <cfRule type="cellIs" priority="14" operator="lessThan" dxfId="1">
      <formula>10</formula>
    </cfRule>
    <cfRule type="cellIs" priority="15" operator="greaterThanOrEqual" dxfId="2">
      <formula>14</formula>
    </cfRule>
  </conditionalFormatting>
  <conditionalFormatting sqref="P4:P42">
    <cfRule type="cellIs" priority="16" operator="equal" dxfId="3">
      <formula>"2"</formula>
    </cfRule>
    <cfRule type="cellIs" priority="17" operator="equal" dxfId="4">
      <formula>"0"</formula>
    </cfRule>
    <cfRule type="cellIs" priority="18" operator="equal" dxfId="5">
      <formula>"NE"</formula>
    </cfRule>
  </conditionalFormatting>
  <conditionalFormatting sqref="Q46">
    <cfRule type="cellIs" priority="19" operator="lessThan" dxfId="1">
      <formula>10</formula>
    </cfRule>
    <cfRule type="cellIs" priority="20" operator="greaterThanOrEqual" dxfId="2">
      <formula>14</formula>
    </cfRule>
  </conditionalFormatting>
  <conditionalFormatting sqref="S4:S42">
    <cfRule type="cellIs" priority="21" operator="equal" dxfId="3">
      <formula>"2"</formula>
    </cfRule>
    <cfRule type="cellIs" priority="22" operator="equal" dxfId="4">
      <formula>"0"</formula>
    </cfRule>
    <cfRule type="cellIs" priority="23" operator="equal" dxfId="5">
      <formula>"NE"</formula>
    </cfRule>
  </conditionalFormatting>
  <conditionalFormatting sqref="T46">
    <cfRule type="cellIs" priority="24" operator="lessThan" dxfId="1">
      <formula>10</formula>
    </cfRule>
    <cfRule type="cellIs" priority="25" operator="greaterThanOrEqual" dxfId="2">
      <formula>14</formula>
    </cfRule>
  </conditionalFormatting>
  <conditionalFormatting sqref="V4:V42">
    <cfRule type="cellIs" priority="26" operator="equal" dxfId="3">
      <formula>"2"</formula>
    </cfRule>
    <cfRule type="cellIs" priority="27" operator="equal" dxfId="4">
      <formula>"0"</formula>
    </cfRule>
    <cfRule type="cellIs" priority="28" operator="equal" dxfId="5">
      <formula>"NE"</formula>
    </cfRule>
  </conditionalFormatting>
  <conditionalFormatting sqref="W46">
    <cfRule type="cellIs" priority="29" operator="lessThan" dxfId="1">
      <formula>10</formula>
    </cfRule>
    <cfRule type="cellIs" priority="30" operator="greaterThanOrEqual" dxfId="2">
      <formula>14</formula>
    </cfRule>
  </conditionalFormatting>
  <conditionalFormatting sqref="Y4:Y42">
    <cfRule type="cellIs" priority="31" operator="equal" dxfId="3">
      <formula>"2"</formula>
    </cfRule>
    <cfRule type="cellIs" priority="32" operator="equal" dxfId="4">
      <formula>"0"</formula>
    </cfRule>
    <cfRule type="cellIs" priority="33" operator="equal" dxfId="5">
      <formula>"NE"</formula>
    </cfRule>
  </conditionalFormatting>
  <conditionalFormatting sqref="Z46">
    <cfRule type="cellIs" priority="34" operator="lessThan" dxfId="1">
      <formula>10</formula>
    </cfRule>
    <cfRule type="cellIs" priority="35" operator="greaterThanOrEqual" dxfId="2">
      <formula>14</formula>
    </cfRule>
  </conditionalFormatting>
  <conditionalFormatting sqref="AB4:AB42">
    <cfRule type="cellIs" priority="36" operator="equal" dxfId="3">
      <formula>"2"</formula>
    </cfRule>
    <cfRule type="cellIs" priority="37" operator="equal" dxfId="4">
      <formula>"0"</formula>
    </cfRule>
    <cfRule type="cellIs" priority="38" operator="equal" dxfId="5">
      <formula>"NE"</formula>
    </cfRule>
  </conditionalFormatting>
  <conditionalFormatting sqref="AC46">
    <cfRule type="cellIs" priority="39" operator="lessThan" dxfId="1">
      <formula>10</formula>
    </cfRule>
    <cfRule type="cellIs" priority="40" operator="greaterThanOrEqual" dxfId="2">
      <formula>14</formula>
    </cfRule>
  </conditionalFormatting>
  <conditionalFormatting sqref="AE4:AE42">
    <cfRule type="cellIs" priority="41" operator="equal" dxfId="3">
      <formula>"2"</formula>
    </cfRule>
    <cfRule type="cellIs" priority="42" operator="equal" dxfId="4">
      <formula>"0"</formula>
    </cfRule>
    <cfRule type="cellIs" priority="43" operator="equal" dxfId="5">
      <formula>"NE"</formula>
    </cfRule>
  </conditionalFormatting>
  <conditionalFormatting sqref="AF46">
    <cfRule type="cellIs" priority="44" operator="lessThan" dxfId="1">
      <formula>10</formula>
    </cfRule>
    <cfRule type="cellIs" priority="45" operator="greaterThanOrEqual" dxfId="2">
      <formula>14</formula>
    </cfRule>
  </conditionalFormatting>
  <conditionalFormatting sqref="AH4:AH42">
    <cfRule type="cellIs" priority="46" operator="equal" dxfId="3">
      <formula>"2"</formula>
    </cfRule>
    <cfRule type="cellIs" priority="47" operator="equal" dxfId="4">
      <formula>"0"</formula>
    </cfRule>
    <cfRule type="cellIs" priority="48" operator="equal" dxfId="5">
      <formula>"NE"</formula>
    </cfRule>
  </conditionalFormatting>
  <conditionalFormatting sqref="AI46">
    <cfRule type="cellIs" priority="49" operator="lessThan" dxfId="1">
      <formula>10</formula>
    </cfRule>
    <cfRule type="cellIs" priority="50" operator="greaterThanOrEqual" dxfId="2">
      <formula>14</formula>
    </cfRule>
  </conditionalFormatting>
  <conditionalFormatting sqref="AK4:AK42">
    <cfRule type="cellIs" priority="51" operator="equal" dxfId="3">
      <formula>"2"</formula>
    </cfRule>
    <cfRule type="cellIs" priority="52" operator="equal" dxfId="4">
      <formula>"0"</formula>
    </cfRule>
    <cfRule type="cellIs" priority="53" operator="equal" dxfId="5">
      <formula>"NE"</formula>
    </cfRule>
  </conditionalFormatting>
  <conditionalFormatting sqref="AL46">
    <cfRule type="cellIs" priority="54" operator="lessThan" dxfId="1">
      <formula>10</formula>
    </cfRule>
    <cfRule type="cellIs" priority="55" operator="greaterThanOrEqual" dxfId="2">
      <formula>14</formula>
    </cfRule>
  </conditionalFormatting>
  <conditionalFormatting sqref="AN4:AN42">
    <cfRule type="cellIs" priority="56" operator="equal" dxfId="3">
      <formula>"2"</formula>
    </cfRule>
    <cfRule type="cellIs" priority="57" operator="equal" dxfId="4">
      <formula>"0"</formula>
    </cfRule>
    <cfRule type="cellIs" priority="58" operator="equal" dxfId="5">
      <formula>"NE"</formula>
    </cfRule>
  </conditionalFormatting>
  <conditionalFormatting sqref="AO46">
    <cfRule type="cellIs" priority="59" operator="lessThan" dxfId="1">
      <formula>10</formula>
    </cfRule>
    <cfRule type="cellIs" priority="60" operator="greaterThanOrEqual" dxfId="2">
      <formula>14</formula>
    </cfRule>
  </conditionalFormatting>
  <conditionalFormatting sqref="AQ4:AQ42">
    <cfRule type="cellIs" priority="61" operator="equal" dxfId="3">
      <formula>"2"</formula>
    </cfRule>
    <cfRule type="cellIs" priority="62" operator="equal" dxfId="4">
      <formula>"0"</formula>
    </cfRule>
    <cfRule type="cellIs" priority="63" operator="equal" dxfId="5">
      <formula>"NE"</formula>
    </cfRule>
  </conditionalFormatting>
  <conditionalFormatting sqref="AR46">
    <cfRule type="cellIs" priority="64" operator="lessThan" dxfId="1">
      <formula>10</formula>
    </cfRule>
    <cfRule type="cellIs" priority="65" operator="greaterThanOrEqual" dxfId="2">
      <formula>14</formula>
    </cfRule>
  </conditionalFormatting>
  <conditionalFormatting sqref="AT4:AT42">
    <cfRule type="cellIs" priority="66" operator="equal" dxfId="3">
      <formula>"2"</formula>
    </cfRule>
    <cfRule type="cellIs" priority="67" operator="equal" dxfId="4">
      <formula>"0"</formula>
    </cfRule>
    <cfRule type="cellIs" priority="68" operator="equal" dxfId="5">
      <formula>"NE"</formula>
    </cfRule>
  </conditionalFormatting>
  <conditionalFormatting sqref="AU46">
    <cfRule type="cellIs" priority="69" operator="lessThan" dxfId="1">
      <formula>10</formula>
    </cfRule>
    <cfRule type="cellIs" priority="70" operator="greaterThanOrEqual" dxfId="2">
      <formula>14</formula>
    </cfRule>
  </conditionalFormatting>
  <conditionalFormatting sqref="AW4:AW42">
    <cfRule type="cellIs" priority="71" operator="equal" dxfId="3">
      <formula>"2"</formula>
    </cfRule>
    <cfRule type="cellIs" priority="72" operator="equal" dxfId="4">
      <formula>"0"</formula>
    </cfRule>
    <cfRule type="cellIs" priority="73" operator="equal" dxfId="5">
      <formula>"NE"</formula>
    </cfRule>
  </conditionalFormatting>
  <conditionalFormatting sqref="AX46">
    <cfRule type="cellIs" priority="74" operator="lessThan" dxfId="1">
      <formula>10</formula>
    </cfRule>
    <cfRule type="cellIs" priority="75" operator="greaterThanOrEqual" dxfId="2">
      <formula>14</formula>
    </cfRule>
  </conditionalFormatting>
  <conditionalFormatting sqref="AZ4:AZ42">
    <cfRule type="cellIs" priority="76" operator="equal" dxfId="3">
      <formula>"2"</formula>
    </cfRule>
    <cfRule type="cellIs" priority="77" operator="equal" dxfId="4">
      <formula>"0"</formula>
    </cfRule>
    <cfRule type="cellIs" priority="78" operator="equal" dxfId="5">
      <formula>"NE"</formula>
    </cfRule>
  </conditionalFormatting>
  <conditionalFormatting sqref="BA46">
    <cfRule type="cellIs" priority="79" operator="lessThan" dxfId="1">
      <formula>10</formula>
    </cfRule>
    <cfRule type="cellIs" priority="80" operator="greaterThanOrEqual" dxfId="2">
      <formula>14</formula>
    </cfRule>
  </conditionalFormatting>
  <conditionalFormatting sqref="BC4:BC42">
    <cfRule type="cellIs" priority="81" operator="equal" dxfId="3">
      <formula>"2"</formula>
    </cfRule>
    <cfRule type="cellIs" priority="82" operator="equal" dxfId="4">
      <formula>"0"</formula>
    </cfRule>
    <cfRule type="cellIs" priority="83" operator="equal" dxfId="5">
      <formula>"NE"</formula>
    </cfRule>
  </conditionalFormatting>
  <conditionalFormatting sqref="BD46">
    <cfRule type="cellIs" priority="84" operator="lessThan" dxfId="1">
      <formula>10</formula>
    </cfRule>
    <cfRule type="cellIs" priority="85" operator="greaterThanOrEqual" dxfId="2">
      <formula>14</formula>
    </cfRule>
  </conditionalFormatting>
  <conditionalFormatting sqref="BF4:BF42">
    <cfRule type="cellIs" priority="86" operator="equal" dxfId="3">
      <formula>"2"</formula>
    </cfRule>
    <cfRule type="cellIs" priority="87" operator="equal" dxfId="4">
      <formula>"0"</formula>
    </cfRule>
    <cfRule type="cellIs" priority="88" operator="equal" dxfId="5">
      <formula>"NE"</formula>
    </cfRule>
  </conditionalFormatting>
  <conditionalFormatting sqref="BG46">
    <cfRule type="cellIs" priority="89" operator="lessThan" dxfId="1">
      <formula>10</formula>
    </cfRule>
    <cfRule type="cellIs" priority="90" operator="greaterThanOrEqual" dxfId="2">
      <formula>14</formula>
    </cfRule>
  </conditionalFormatting>
  <conditionalFormatting sqref="BI4:BI42">
    <cfRule type="cellIs" priority="91" operator="equal" dxfId="3">
      <formula>"2"</formula>
    </cfRule>
    <cfRule type="cellIs" priority="92" operator="equal" dxfId="4">
      <formula>"0"</formula>
    </cfRule>
    <cfRule type="cellIs" priority="93" operator="equal" dxfId="5">
      <formula>"NE"</formula>
    </cfRule>
  </conditionalFormatting>
  <conditionalFormatting sqref="BJ46">
    <cfRule type="cellIs" priority="94" operator="lessThan" dxfId="1">
      <formula>10</formula>
    </cfRule>
    <cfRule type="cellIs" priority="95" operator="greaterThanOrEqual" dxfId="2">
      <formula>14</formula>
    </cfRule>
  </conditionalFormatting>
  <conditionalFormatting sqref="BL4:BL42">
    <cfRule type="cellIs" priority="96" operator="equal" dxfId="3">
      <formula>"2"</formula>
    </cfRule>
    <cfRule type="cellIs" priority="97" operator="equal" dxfId="4">
      <formula>"0"</formula>
    </cfRule>
    <cfRule type="cellIs" priority="98" operator="equal" dxfId="5">
      <formula>"NE"</formula>
    </cfRule>
  </conditionalFormatting>
  <conditionalFormatting sqref="BM46">
    <cfRule type="cellIs" priority="99" operator="lessThan" dxfId="1">
      <formula>10</formula>
    </cfRule>
    <cfRule type="cellIs" priority="100" operator="greaterThanOrEqual" dxfId="2">
      <formula>14</formula>
    </cfRule>
  </conditionalFormatting>
  <conditionalFormatting sqref="BO4:BO42">
    <cfRule type="cellIs" priority="101" operator="equal" dxfId="3">
      <formula>"2"</formula>
    </cfRule>
    <cfRule type="cellIs" priority="102" operator="equal" dxfId="4">
      <formula>"0"</formula>
    </cfRule>
    <cfRule type="cellIs" priority="103" operator="equal" dxfId="5">
      <formula>"NE"</formula>
    </cfRule>
  </conditionalFormatting>
  <conditionalFormatting sqref="BP46">
    <cfRule type="cellIs" priority="104" operator="lessThan" dxfId="1">
      <formula>10</formula>
    </cfRule>
    <cfRule type="cellIs" priority="105" operator="greaterThanOrEqual" dxfId="2">
      <formula>14</formula>
    </cfRule>
  </conditionalFormatting>
  <conditionalFormatting sqref="BR4:BR42">
    <cfRule type="cellIs" priority="106" operator="equal" dxfId="3">
      <formula>"2"</formula>
    </cfRule>
    <cfRule type="cellIs" priority="107" operator="equal" dxfId="4">
      <formula>"0"</formula>
    </cfRule>
    <cfRule type="cellIs" priority="108" operator="equal" dxfId="5">
      <formula>"NE"</formula>
    </cfRule>
  </conditionalFormatting>
  <conditionalFormatting sqref="BS46">
    <cfRule type="cellIs" priority="109" operator="lessThan" dxfId="1">
      <formula>10</formula>
    </cfRule>
    <cfRule type="cellIs" priority="110" operator="greaterThanOrEqual" dxfId="2">
      <formula>14</formula>
    </cfRule>
  </conditionalFormatting>
  <conditionalFormatting sqref="BU4:BU42">
    <cfRule type="cellIs" priority="111" operator="equal" dxfId="3">
      <formula>"2"</formula>
    </cfRule>
    <cfRule type="cellIs" priority="112" operator="equal" dxfId="4">
      <formula>"0"</formula>
    </cfRule>
    <cfRule type="cellIs" priority="113" operator="equal" dxfId="5">
      <formula>"NE"</formula>
    </cfRule>
  </conditionalFormatting>
  <conditionalFormatting sqref="BV46">
    <cfRule type="cellIs" priority="114" operator="lessThan" dxfId="1">
      <formula>10</formula>
    </cfRule>
    <cfRule type="cellIs" priority="115" operator="greaterThanOrEqual" dxfId="2">
      <formula>14</formula>
    </cfRule>
  </conditionalFormatting>
  <conditionalFormatting sqref="BX4:BX42">
    <cfRule type="cellIs" priority="116" operator="equal" dxfId="3">
      <formula>"2"</formula>
    </cfRule>
    <cfRule type="cellIs" priority="117" operator="equal" dxfId="4">
      <formula>"0"</formula>
    </cfRule>
    <cfRule type="cellIs" priority="118" operator="equal" dxfId="5">
      <formula>"NE"</formula>
    </cfRule>
  </conditionalFormatting>
  <conditionalFormatting sqref="BY46">
    <cfRule type="cellIs" priority="119" operator="lessThan" dxfId="1">
      <formula>10</formula>
    </cfRule>
    <cfRule type="cellIs" priority="120" operator="greaterThanOrEqual" dxfId="2">
      <formula>14</formula>
    </cfRule>
  </conditionalFormatting>
  <conditionalFormatting sqref="CA4:CA42">
    <cfRule type="cellIs" priority="121" operator="equal" dxfId="3">
      <formula>"2"</formula>
    </cfRule>
    <cfRule type="cellIs" priority="122" operator="equal" dxfId="4">
      <formula>"0"</formula>
    </cfRule>
    <cfRule type="cellIs" priority="123" operator="equal" dxfId="5">
      <formula>"NE"</formula>
    </cfRule>
  </conditionalFormatting>
  <conditionalFormatting sqref="CB46">
    <cfRule type="cellIs" priority="124" operator="lessThan" dxfId="1">
      <formula>10</formula>
    </cfRule>
    <cfRule type="cellIs" priority="125" operator="greaterThanOrEqual" dxfId="2">
      <formula>14</formula>
    </cfRule>
  </conditionalFormatting>
  <conditionalFormatting sqref="CD4:CD42">
    <cfRule type="cellIs" priority="126" operator="equal" dxfId="3">
      <formula>"2"</formula>
    </cfRule>
    <cfRule type="cellIs" priority="127" operator="equal" dxfId="4">
      <formula>"0"</formula>
    </cfRule>
    <cfRule type="cellIs" priority="128" operator="equal" dxfId="5">
      <formula>"NE"</formula>
    </cfRule>
  </conditionalFormatting>
  <conditionalFormatting sqref="CE46">
    <cfRule type="cellIs" priority="129" operator="lessThan" dxfId="1">
      <formula>10</formula>
    </cfRule>
    <cfRule type="cellIs" priority="130" operator="greaterThanOrEqual" dxfId="2">
      <formula>14</formula>
    </cfRule>
  </conditionalFormatting>
  <conditionalFormatting sqref="CG4:CG42">
    <cfRule type="cellIs" priority="131" operator="equal" dxfId="3">
      <formula>"2"</formula>
    </cfRule>
    <cfRule type="cellIs" priority="132" operator="equal" dxfId="4">
      <formula>"0"</formula>
    </cfRule>
    <cfRule type="cellIs" priority="133" operator="equal" dxfId="5">
      <formula>"NE"</formula>
    </cfRule>
  </conditionalFormatting>
  <conditionalFormatting sqref="CH46">
    <cfRule type="cellIs" priority="134" operator="lessThan" dxfId="1">
      <formula>10</formula>
    </cfRule>
    <cfRule type="cellIs" priority="135" operator="greaterThanOrEqual" dxfId="2">
      <formula>14</formula>
    </cfRule>
  </conditionalFormatting>
  <conditionalFormatting sqref="CJ4:CJ42">
    <cfRule type="cellIs" priority="136" operator="equal" dxfId="3">
      <formula>"2"</formula>
    </cfRule>
    <cfRule type="cellIs" priority="137" operator="equal" dxfId="4">
      <formula>"0"</formula>
    </cfRule>
    <cfRule type="cellIs" priority="138" operator="equal" dxfId="5">
      <formula>"NE"</formula>
    </cfRule>
  </conditionalFormatting>
  <conditionalFormatting sqref="CK46">
    <cfRule type="cellIs" priority="139" operator="lessThan" dxfId="1">
      <formula>10</formula>
    </cfRule>
    <cfRule type="cellIs" priority="140" operator="greaterThanOrEqual" dxfId="2">
      <formula>14</formula>
    </cfRule>
  </conditionalFormatting>
  <conditionalFormatting sqref="CM4:CM42">
    <cfRule type="cellIs" priority="141" operator="equal" dxfId="3">
      <formula>"2"</formula>
    </cfRule>
    <cfRule type="cellIs" priority="142" operator="equal" dxfId="4">
      <formula>"0"</formula>
    </cfRule>
    <cfRule type="cellIs" priority="143" operator="equal" dxfId="5">
      <formula>"NE"</formula>
    </cfRule>
  </conditionalFormatting>
  <conditionalFormatting sqref="CN46">
    <cfRule type="cellIs" priority="144" operator="lessThan" dxfId="1">
      <formula>10</formula>
    </cfRule>
    <cfRule type="cellIs" priority="145" operator="greaterThanOrEqual" dxfId="2">
      <formula>14</formula>
    </cfRule>
  </conditionalFormatting>
  <conditionalFormatting sqref="CP4:CP42">
    <cfRule type="cellIs" priority="146" operator="equal" dxfId="3">
      <formula>"2"</formula>
    </cfRule>
    <cfRule type="cellIs" priority="147" operator="equal" dxfId="4">
      <formula>"0"</formula>
    </cfRule>
    <cfRule type="cellIs" priority="148" operator="equal" dxfId="5">
      <formula>"NE"</formula>
    </cfRule>
  </conditionalFormatting>
  <conditionalFormatting sqref="CQ46">
    <cfRule type="cellIs" priority="149" operator="lessThan" dxfId="1">
      <formula>10</formula>
    </cfRule>
    <cfRule type="cellIs" priority="150" operator="greaterThanOrEqual" dxfId="2">
      <formula>14</formula>
    </cfRule>
  </conditionalFormatting>
  <conditionalFormatting sqref="F44">
    <cfRule type="expression" priority="151" dxfId="6">
      <formula>ABS($F$44-5)&gt;0.001</formula>
    </cfRule>
  </conditionalFormatting>
  <conditionalFormatting sqref="H46:CQ46">
    <cfRule type="dataBar" priority="152">
      <dataBar showValue="1">
        <cfvo type="num" val="0"/>
        <cfvo type="num" val="20"/>
        <color rgb="0063BE7B"/>
      </dataBar>
    </cfRule>
  </conditionalFormatting>
  <dataValidations count="1">
    <dataValidation sqref="G5 G6 G7 G8 G9 G10 G11 G13 G14 G15 G16 G17 G18 G19 G20 G22 G23 G24 G25 G27 G28 G29 G30 G31 G32 G33 G35 G36 G37 G38 G39 G40 G41 G42 J5 J6 J7 J8 J9 J10 J11 J13 J14 J15 J16 J17 J18 J19 J20 J22 J23 J24 J25 J27 J28 J29 J30 J31 J32 J33 J35 J36 J37 J38 J39 J40 J41 J42 M5 M6 M7 M8 M9 M10 M11 M13 M14 M15 M16 M17 M18 M19 M20 M22 M23 M24 M25 M27 M28 M29 M30 M31 M32 M33 M35 M36 M37 M38 M39 M40 M41 M42 P5 P6 P7 P8 P9 P10 P11 P13 P14 P15 P16 P17 P18 P19 P20 P22 P23 P24 P25 P27 P28 P29 P30 P31 P32 P33 P35 P36 P37 P38 P39 P40 P41 P42 S5 S6 S7 S8 S9 S10 S11 S13 S14 S15 S16 S17 S18 S19 S20 S22 S23 S24 S25 S27 S28 S29 S30 S31 S32 S33 S35 S36 S37 S38 S39 S40 S41 S42 V5 V6 V7 V8 V9 V10 V11 V13 V14 V15 V16 V17 V18 V19 V20 V22 V23 V24 V25 V27 V28 V29 V30 V31 V32 V33 V35 V36 V37 V38 V39 V40 V41 V42 Y5 Y6 Y7 Y8 Y9 Y10 Y11 Y13 Y14 Y15 Y16 Y17 Y18 Y19 Y20 Y22 Y23 Y24 Y25 Y27 Y28 Y29 Y30 Y31 Y32 Y33 Y35 Y36 Y37 Y38 Y39 Y40 Y41 Y42 AB5 AB6 AB7 AB8 AB9 AB10 AB11 AB13 AB14 AB15 AB16 AB17 AB18 AB19 AB20 AB22 AB23 AB24 AB25 AB27 AB28 AB29 AB30 AB31 AB32 AB33 AB35 AB36 AB37 AB38 AB39 AB40 AB41 AB42 AE5 AE6 AE7 AE8 AE9 AE10 AE11 AE13 AE14 AE15 AE16 AE17 AE18 AE19 AE20 AE22 AE23 AE24 AE25 AE27 AE28 AE29 AE30 AE31 AE32 AE33 AE35 AE36 AE37 AE38 AE39 AE40 AE41 AE42 AH5 AH6 AH7 AH8 AH9 AH10 AH11 AH13 AH14 AH15 AH16 AH17 AH18 AH19 AH20 AH22 AH23 AH24 AH25 AH27 AH28 AH29 AH30 AH31 AH32 AH33 AH35 AH36 AH37 AH38 AH39 AH40 AH41 AH42 AK5 AK6 AK7 AK8 AK9 AK10 AK11 AK13 AK14 AK15 AK16 AK17 AK18 AK19 AK20 AK22 AK23 AK24 AK25 AK27 AK28 AK29 AK30 AK31 AK32 AK33 AK35 AK36 AK37 AK38 AK39 AK40 AK41 AK42 AN5 AN6 AN7 AN8 AN9 AN10 AN11 AN13 AN14 AN15 AN16 AN17 AN18 AN19 AN20 AN22 AN23 AN24 AN25 AN27 AN28 AN29 AN30 AN31 AN32 AN33 AN35 AN36 AN37 AN38 AN39 AN40 AN41 AN42 AQ5 AQ6 AQ7 AQ8 AQ9 AQ10 AQ11 AQ13 AQ14 AQ15 AQ16 AQ17 AQ18 AQ19 AQ20 AQ22 AQ23 AQ24 AQ25 AQ27 AQ28 AQ29 AQ30 AQ31 AQ32 AQ33 AQ35 AQ36 AQ37 AQ38 AQ39 AQ40 AQ41 AQ42 AT5 AT6 AT7 AT8 AT9 AT10 AT11 AT13 AT14 AT15 AT16 AT17 AT18 AT19 AT20 AT22 AT23 AT24 AT25 AT27 AT28 AT29 AT30 AT31 AT32 AT33 AT35 AT36 AT37 AT38 AT39 AT40 AT41 AT42 AW5 AW6 AW7 AW8 AW9 AW10 AW11 AW13 AW14 AW15 AW16 AW17 AW18 AW19 AW20 AW22 AW23 AW24 AW25 AW27 AW28 AW29 AW30 AW31 AW32 AW33 AW35 AW36 AW37 AW38 AW39 AW40 AW41 AW42 AZ5 AZ6 AZ7 AZ8 AZ9 AZ10 AZ11 AZ13 AZ14 AZ15 AZ16 AZ17 AZ18 AZ19 AZ20 AZ22 AZ23 AZ24 AZ25 AZ27 AZ28 AZ29 AZ30 AZ31 AZ32 AZ33 AZ35 AZ36 AZ37 AZ38 AZ39 AZ40 AZ41 AZ42 BC5 BC6 BC7 BC8 BC9 BC10 BC11 BC13 BC14 BC15 BC16 BC17 BC18 BC19 BC20 BC22 BC23 BC24 BC25 BC27 BC28 BC29 BC30 BC31 BC32 BC33 BC35 BC36 BC37 BC38 BC39 BC40 BC41 BC42 BF5 BF6 BF7 BF8 BF9 BF10 BF11 BF13 BF14 BF15 BF16 BF17 BF18 BF19 BF20 BF22 BF23 BF24 BF25 BF27 BF28 BF29 BF30 BF31 BF32 BF33 BF35 BF36 BF37 BF38 BF39 BF40 BF41 BF42 BI5 BI6 BI7 BI8 BI9 BI10 BI11 BI13 BI14 BI15 BI16 BI17 BI18 BI19 BI20 BI22 BI23 BI24 BI25 BI27 BI28 BI29 BI30 BI31 BI32 BI33 BI35 BI36 BI37 BI38 BI39 BI40 BI41 BI42 BL5 BL6 BL7 BL8 BL9 BL10 BL11 BL13 BL14 BL15 BL16 BL17 BL18 BL19 BL20 BL22 BL23 BL24 BL25 BL27 BL28 BL29 BL30 BL31 BL32 BL33 BL35 BL36 BL37 BL38 BL39 BL40 BL41 BL42 BO5 BO6 BO7 BO8 BO9 BO10 BO11 BO13 BO14 BO15 BO16 BO17 BO18 BO19 BO20 BO22 BO23 BO24 BO25 BO27 BO28 BO29 BO30 BO31 BO32 BO33 BO35 BO36 BO37 BO38 BO39 BO40 BO41 BO42 BR5 BR6 BR7 BR8 BR9 BR10 BR11 BR13 BR14 BR15 BR16 BR17 BR18 BR19 BR20 BR22 BR23 BR24 BR25 BR27 BR28 BR29 BR30 BR31 BR32 BR33 BR35 BR36 BR37 BR38 BR39 BR40 BR41 BR42 BU5 BU6 BU7 BU8 BU9 BU10 BU11 BU13 BU14 BU15 BU16 BU17 BU18 BU19 BU20 BU22 BU23 BU24 BU25 BU27 BU28 BU29 BU30 BU31 BU32 BU33 BU35 BU36 BU37 BU38 BU39 BU40 BU41 BU42 BX5 BX6 BX7 BX8 BX9 BX10 BX11 BX13 BX14 BX15 BX16 BX17 BX18 BX19 BX20 BX22 BX23 BX24 BX25 BX27 BX28 BX29 BX30 BX31 BX32 BX33 BX35 BX36 BX37 BX38 BX39 BX40 BX41 BX42 CA5 CA6 CA7 CA8 CA9 CA10 CA11 CA13 CA14 CA15 CA16 CA17 CA18 CA19 CA20 CA22 CA23 CA24 CA25 CA27 CA28 CA29 CA30 CA31 CA32 CA33 CA35 CA36 CA37 CA38 CA39 CA40 CA41 CA42 CD5 CD6 CD7 CD8 CD9 CD10 CD11 CD13 CD14 CD15 CD16 CD17 CD18 CD19 CD20 CD22 CD23 CD24 CD25 CD27 CD28 CD29 CD30 CD31 CD32 CD33 CD35 CD36 CD37 CD38 CD39 CD40 CD41 CD42 CG5 CG6 CG7 CG8 CG9 CG10 CG11 CG13 CG14 CG15 CG16 CG17 CG18 CG19 CG20 CG22 CG23 CG24 CG25 CG27 CG28 CG29 CG30 CG31 CG32 CG33 CG35 CG36 CG37 CG38 CG39 CG40 CG41 CG42 CJ5 CJ6 CJ7 CJ8 CJ9 CJ10 CJ11 CJ13 CJ14 CJ15 CJ16 CJ17 CJ18 CJ19 CJ20 CJ22 CJ23 CJ24 CJ25 CJ27 CJ28 CJ29 CJ30 CJ31 CJ32 CJ33 CJ35 CJ36 CJ37 CJ38 CJ39 CJ40 CJ41 CJ42 CM5 CM6 CM7 CM8 CM9 CM10 CM11 CM13 CM14 CM15 CM16 CM17 CM18 CM19 CM20 CM22 CM23 CM24 CM25 CM27 CM28 CM29 CM30 CM31 CM32 CM33 CM35 CM36 CM37 CM38 CM39 CM40 CM41 CM42 CP5 CP6 CP7 CP8 CP9 CP10 CP11 CP13 CP14 CP15 CP16 CP17 CP18 CP19 CP20 CP22 CP23 CP24 CP25 CP27 CP28 CP29 CP30 CP31 CP32 CP33 CP35 CP36 CP37 CP38 CP39 CP40 CP41 CP42" showDropDown="0" showInputMessage="0" showErrorMessage="1" allowBlank="1" errorTitle="Saisie invalide" error="Valeurs autorisées : NE (non évalué), 0, 1, 2." type="list">
      <formula1>"NE,0,1,2"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0" customWidth="1" min="1" max="1"/>
  </cols>
  <sheetData>
    <row r="1" ht="28" customHeight="1">
      <c r="A1" s="28" t="inlineStr">
        <is>
          <t>Mode d'emploi de la grille de notation</t>
        </is>
      </c>
    </row>
    <row r="2">
      <c r="A2" s="29" t="inlineStr"/>
    </row>
    <row r="3">
      <c r="A3" s="30" t="inlineStr">
        <is>
          <t>1. SAISIE DES ÉVALUATIONS</t>
        </is>
      </c>
    </row>
    <row r="4">
      <c r="A4" s="29" t="inlineStr">
        <is>
          <t>Pour chaque critère et chaque élève, dans la feuille de l'évaluation (ex: BB2 12-05-26), saisir UN seul des codes suivants dans la colonne 'E1', 'E2', etc. :</t>
        </is>
      </c>
    </row>
    <row r="5">
      <c r="A5" s="29" t="inlineStr">
        <is>
          <t xml:space="preserve">  • 0  → critère non acquis</t>
        </is>
      </c>
    </row>
    <row r="6">
      <c r="A6" s="29" t="inlineStr">
        <is>
          <t xml:space="preserve">  • 1  → critère partiellement acquis (½ point)</t>
        </is>
      </c>
    </row>
    <row r="7">
      <c r="A7" s="29" t="inlineStr">
        <is>
          <t xml:space="preserve">  • 2  → critère acquis</t>
        </is>
      </c>
    </row>
    <row r="8">
      <c r="A8" s="29" t="inlineStr">
        <is>
          <t xml:space="preserve">  • NE → critère non évalué (sera ignoré dans le calcul)</t>
        </is>
      </c>
    </row>
    <row r="9">
      <c r="A9" s="29" t="inlineStr"/>
    </row>
    <row r="10">
      <c r="A10" s="29" t="inlineStr">
        <is>
          <t>La cellule propose une liste déroulante : toute autre valeur sera refusée par la validation de données.</t>
        </is>
      </c>
    </row>
    <row r="11">
      <c r="A11" s="29" t="inlineStr"/>
    </row>
    <row r="12">
      <c r="A12" s="30" t="inlineStr">
        <is>
          <t>2. CODES COULEURS</t>
        </is>
      </c>
    </row>
    <row r="13">
      <c r="A13" s="29" t="inlineStr">
        <is>
          <t xml:space="preserve">  • Vert pâle  : saisie = 2 (critère acquis)</t>
        </is>
      </c>
    </row>
    <row r="14">
      <c r="A14" s="29" t="inlineStr">
        <is>
          <t xml:space="preserve">  • Rouge pâle : saisie = 0 (critère non acquis)</t>
        </is>
      </c>
    </row>
    <row r="15">
      <c r="A15" s="29" t="inlineStr">
        <is>
          <t xml:space="preserve">  • Gris       : saisie = NE (non évalué)</t>
        </is>
      </c>
    </row>
    <row r="16">
      <c r="A16" s="29" t="inlineStr">
        <is>
          <t xml:space="preserve">  • Note finale /20 &lt; 10 → texte rouge gras</t>
        </is>
      </c>
    </row>
    <row r="17">
      <c r="A17" s="29" t="inlineStr">
        <is>
          <t xml:space="preserve">  • Note finale /20 ≥ 14 → texte vert gras</t>
        </is>
      </c>
    </row>
    <row r="18">
      <c r="A18" s="29" t="inlineStr">
        <is>
          <t xml:space="preserve">  • Audit poids (cellule F sous les critères) en rouge → un poids a été modifié, somme ≠ 5,00 (somme des 5 parties)</t>
        </is>
      </c>
    </row>
    <row r="19">
      <c r="A19" s="29" t="inlineStr"/>
    </row>
    <row r="20">
      <c r="A20" s="30" t="inlineStr">
        <is>
          <t>3. AJOUTER OU RETIRER UN ÉLÈVE</t>
        </is>
      </c>
    </row>
    <row r="21">
      <c r="A21" s="29" t="inlineStr">
        <is>
          <t>La grille est dimensionnée pour 30 élèves (24 préremplis, 6 lignes vides).</t>
        </is>
      </c>
    </row>
    <row r="22">
      <c r="A22" s="29" t="inlineStr">
        <is>
          <t xml:space="preserve">  • Ajouter : aller dans 'Élèves', ligne 28+, saisir le nom dans la colonne B. La note remontera automatiquement.</t>
        </is>
      </c>
    </row>
    <row r="23">
      <c r="A23" s="29" t="inlineStr">
        <is>
          <t xml:space="preserve">  • Retirer : effacer le nom dans la colonne B (la ligne devient grisée).</t>
        </is>
      </c>
    </row>
    <row r="24">
      <c r="A24" s="29" t="inlineStr"/>
    </row>
    <row r="25">
      <c r="A25" s="30" t="inlineStr">
        <is>
          <t>4. MODIFIER LA PONDÉRATION</t>
        </is>
      </c>
    </row>
    <row r="26">
      <c r="A26" s="29" t="inlineStr">
        <is>
          <t>Tous les poids sont dans la colonne F de la feuille d'évaluation.</t>
        </is>
      </c>
    </row>
    <row r="27">
      <c r="A27" s="29" t="inlineStr">
        <is>
          <t xml:space="preserve">  • Poids des parties : sur les lignes de titre 'P1', 'P2'…</t>
        </is>
      </c>
    </row>
    <row r="28">
      <c r="A28" s="29" t="inlineStr">
        <is>
          <t xml:space="preserve">  • Poids des critères : sur chaque ligne de critère.</t>
        </is>
      </c>
    </row>
    <row r="29">
      <c r="A29" s="29" t="inlineStr">
        <is>
          <t>Tout changement est répercuté automatiquement sur les 30 colonnes-élèves.</t>
        </is>
      </c>
    </row>
    <row r="30">
      <c r="A30" s="29" t="inlineStr">
        <is>
          <t>La cellule d'audit (en bas, colonne F) vérifie que Σ(poids critères par partie) = 1,00 pour chaque P, soit 5,00 au total.</t>
        </is>
      </c>
    </row>
    <row r="31">
      <c r="A31" s="29" t="inlineStr"/>
    </row>
    <row r="32">
      <c r="A32" s="30" t="inlineStr">
        <is>
          <t>5. AJOUTER UNE NOUVELLE ÉVALUATION (BB3, etc.)</t>
        </is>
      </c>
    </row>
    <row r="33">
      <c r="A33" s="29" t="inlineStr">
        <is>
          <t xml:space="preserve">  1) Cliquer-droit sur l'onglet 'BB2 12-05-26' → Déplacer/Copier → Cocher 'Copier' → OK.</t>
        </is>
      </c>
    </row>
    <row r="34">
      <c r="A34" s="29" t="inlineStr">
        <is>
          <t xml:space="preserve">  2) Renommer l'onglet (ex: 'BB3 16-06-26').</t>
        </is>
      </c>
    </row>
    <row r="35">
      <c r="A35" s="29" t="inlineStr">
        <is>
          <t xml:space="preserve">  3) Modifier les libellés des critères et les poids selon le nouveau sujet.</t>
        </is>
      </c>
    </row>
    <row r="36">
      <c r="A36" s="29" t="inlineStr">
        <is>
          <t xml:space="preserve">  4) Dans la feuille 'Élèves', ajouter 2 colonnes (note /20 et /12) référant à la nouvelle feuille.</t>
        </is>
      </c>
    </row>
    <row r="37">
      <c r="A37" s="29" t="inlineStr"/>
    </row>
    <row r="38">
      <c r="A38" s="30" t="inlineStr">
        <is>
          <t>6. CONTRAINTES TECHNIQUES</t>
        </is>
      </c>
    </row>
    <row r="39">
      <c r="A39" s="29" t="inlineStr">
        <is>
          <t xml:space="preserve">  • Les cellules contenant des formules sont protégées (impossible à modifier par erreur).</t>
        </is>
      </c>
    </row>
    <row r="40">
      <c r="A40" s="29" t="inlineStr">
        <is>
          <t xml:space="preserve">  • Pour modifier une formule, désactiver la protection : Outils → Protéger le document → Feuille → décocher.</t>
        </is>
      </c>
    </row>
    <row r="41">
      <c r="A41" s="29" t="inlineStr">
        <is>
          <t xml:space="preserve">  • Les noms d'élèves et les cellules de saisie sont déverrouillés.</t>
        </is>
      </c>
    </row>
    <row r="42">
      <c r="A42" s="29" t="inlineStr"/>
    </row>
    <row r="43">
      <c r="A43" s="31" t="inlineStr">
        <is>
          <t>Version générée par build_grille.py — 2026-05-15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2026-05-15T22:28:04Z</dcterms:created>
  <dcterms:modified xsi:type="dcterms:W3CDTF">2026-05-15T22:28:04Z</dcterms:modified>
</cp:coreProperties>
</file>
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3 03 26 BAC BLANC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<sst xmlns="http://schemas.openxmlformats.org/spreadsheetml/2006/main" count="238" uniqueCount="96">
  <si>
    <t xml:space="preserve">03 03 2026</t>
  </si>
  <si>
    <t xml:space="preserve">AQUALYON</t>
  </si>
  <si>
    <t xml:space="preserve">NOM Prénom</t>
  </si>
  <si>
    <t xml:space="preserve">BAC BLANC</t>
  </si>
  <si>
    <t xml:space="preserve">Critères d'évaluation</t>
  </si>
  <si>
    <t xml:space="preserve">Non évalué</t>
  </si>
  <si>
    <t xml:space="preserve">Note Brute</t>
  </si>
  <si>
    <t xml:space="preserve">Poids réel des compétences et critères évalués</t>
  </si>
  <si>
    <t xml:space="preserve">Poids effectif selon critère non évalué
INIUTILE ICI</t>
  </si>
  <si>
    <t xml:space="preserve">Note</t>
  </si>
  <si>
    <t xml:space="preserve">Partie 1</t>
  </si>
  <si>
    <t xml:space="preserve">Comment de la station de la Feyssine permet de répondre aux besoins de 
la métropole ?</t>
  </si>
  <si>
    <t xml:space="preserve">Élève 1</t>
  </si>
  <si>
    <t xml:space="preserve">Q1,1</t>
  </si>
  <si>
    <t xml:space="preserve">La station de Saint Fons est saturée en DBO. </t>
  </si>
  <si>
    <t xml:space="preserve">Élève 2</t>
  </si>
  <si>
    <t xml:space="preserve">Il faut donc construire une autre station afin de pouvoir 
répondre à l’augmentation de population</t>
  </si>
  <si>
    <t xml:space="preserve">Élève 3</t>
  </si>
  <si>
    <t xml:space="preserve">Q1,2</t>
  </si>
  <si>
    <t xml:space="preserve">Lecture des documents techniques : - Le terrain est près du Rhône - Le terrain est près du périphérique - Le terrain est au point altimétrique XX qui est le 
plus bas - La station est entourée de parc naturel pas 
d’habitation à proximité direct</t>
  </si>
  <si>
    <t xml:space="preserve">Élève 4</t>
  </si>
  <si>
    <t xml:space="preserve">QI.3</t>
  </si>
  <si>
    <t xml:space="preserve">Surface de la station avec lit planté de roseaux 10 m²/EqHab x 300 000 = 3 000 000 m² (300 Ha) </t>
  </si>
  <si>
    <t xml:space="preserve">Élève 5</t>
  </si>
  <si>
    <t xml:space="preserve">Consommation NRJ 3,2 KWh/KDBO5 x 17 100 = 54 720 KWh </t>
  </si>
  <si>
    <t xml:space="preserve">Élève 6</t>
  </si>
  <si>
    <t xml:space="preserve">Cout investissement 2142€/EqHab x 300 000 = 642.6 M€ </t>
  </si>
  <si>
    <t xml:space="preserve">Élève 7</t>
  </si>
  <si>
    <t xml:space="preserve">Q1,4</t>
  </si>
  <si>
    <t xml:space="preserve">Le choix d’une Boue Activée comme process de traitement 
se justifie car elle : 
Lit planté de roseaux est trop grand 
Consomme moins d’énergie qu’un biofiltre  
Nécessite moins de surface d’un lit planté de roseaux.   </t>
  </si>
  <si>
    <t xml:space="preserve">Élève 8</t>
  </si>
  <si>
    <t xml:space="preserve">Partie 2</t>
  </si>
  <si>
    <t xml:space="preserve">Comment la digestion des boues permet d’améliorer les performances 
d’une STEU dans une démarche de développement durable ? </t>
  </si>
  <si>
    <t xml:space="preserve">Élève 9</t>
  </si>
  <si>
    <t xml:space="preserve">Q2,1</t>
  </si>
  <si>
    <t xml:space="preserve">Type 1 : 
Flux entrants : - Énergie électrique </t>
  </si>
  <si>
    <t xml:space="preserve">Élève 10</t>
  </si>
  <si>
    <t xml:space="preserve">Type 2 : 
Flux entrants : - Énergie électrique - Gaz - GRDF 
Flux sortants : - Énergie chimique (méthane) (GRDF) - Énergie thermique perdue (torchère) </t>
  </si>
  <si>
    <t xml:space="preserve">Élève 11</t>
  </si>
  <si>
    <t xml:space="preserve">Q2,2</t>
  </si>
  <si>
    <t xml:space="preserve">6 160 000 kWh x 0,1 
           = 616 000 kgeq.CO2ꞏan-1</t>
  </si>
  <si>
    <t xml:space="preserve">Élève 12</t>
  </si>
  <si>
    <t xml:space="preserve">La ligne (1) du tableau est correctement complétée 616 000 kgeq.CO2ꞏan-1 </t>
  </si>
  <si>
    <t xml:space="preserve">Élève 13</t>
  </si>
  <si>
    <t xml:space="preserve">Q2.3</t>
  </si>
  <si>
    <t xml:space="preserve">5 296 000 x -0,2 = -1 059 200 kgeq.CO2ꞏan-1 </t>
  </si>
  <si>
    <t xml:space="preserve">Élève 14</t>
  </si>
  <si>
    <t xml:space="preserve">La ligne (4) du tableau est correctement complétée 5296000 KWhꞏan-1 - 1 059 200 kgeq.CO2ꞏan-1 </t>
  </si>
  <si>
    <t xml:space="preserve">Élève 15</t>
  </si>
  <si>
    <t xml:space="preserve">Les totaux sont calculés </t>
  </si>
  <si>
    <t xml:space="preserve">Élève 16</t>
  </si>
  <si>
    <t xml:space="preserve">Argumentation attendues point de vue DD : 
Économique : - Production de biogaz - Valorisation en fin de vie des boues (combustibles) 
Environnemental : - Réduire les émissions de GAS 
Sociétal : - Diminuer les nuisances olfactives </t>
  </si>
  <si>
    <t xml:space="preserve">Élève 17</t>
  </si>
  <si>
    <t xml:space="preserve">Partie 3</t>
  </si>
  <si>
    <t xml:space="preserve">Comment la maîtrise de l'information permet de garantir la sécurité des 
personnes ?  </t>
  </si>
  <si>
    <t xml:space="preserve">Élève 18</t>
  </si>
  <si>
    <t xml:space="preserve">Q3,1</t>
  </si>
  <si>
    <t xml:space="preserve">
Masque réseau 255.255.0.0  (256 x 256) – 2 = 65534 
adresses possibles </t>
  </si>
  <si>
    <t xml:space="preserve">Élève 19</t>
  </si>
  <si>
    <t xml:space="preserve">
10101100.00010000.00110010.11001000  
172.16.50.200 </t>
  </si>
  <si>
    <t xml:space="preserve">Élève 20</t>
  </si>
  <si>
    <t xml:space="preserve">Q3,2</t>
  </si>
  <si>
    <t xml:space="preserve">L’adresse proposée est compatible et disponible.</t>
  </si>
  <si>
    <t xml:space="preserve">Élève 21</t>
  </si>
  <si>
    <t xml:space="preserve">Q3,3</t>
  </si>
  <si>
    <t xml:space="preserve">Argumentation attendues : 
Protection des personnes : - Détecteurs multigaz pour les personnels ; - Surveillance en temps réel des expositions des 
personnels aux gaz nocifs.</t>
  </si>
  <si>
    <t xml:space="preserve">Élève 22</t>
  </si>
  <si>
    <t xml:space="preserve">Partie 4</t>
  </si>
  <si>
    <t xml:space="preserve">Comment justifier l'utilisation d'un séparateur de boues biologiques ?</t>
  </si>
  <si>
    <t xml:space="preserve">Élève 23</t>
  </si>
  <si>
    <t xml:space="preserve">Q4,1</t>
  </si>
  <si>
    <t xml:space="preserve">Flux  Énergie électrique</t>
  </si>
  <si>
    <t xml:space="preserve">Élève 24</t>
  </si>
  <si>
    <t xml:space="preserve">Flux Énergie mécanique</t>
  </si>
  <si>
    <t xml:space="preserve">Q4,2</t>
  </si>
  <si>
    <t xml:space="preserve">Ωbol = 2 x π x 2600 /60 = 272   radꞏs-1. </t>
  </si>
  <si>
    <t xml:space="preserve">Q4,3</t>
  </si>
  <si>
    <t xml:space="preserve">Fcb= 1200 x 1 x 0,335 x 300² = 36 180 Kn</t>
  </si>
  <si>
    <t xml:space="preserve">Q4,4</t>
  </si>
  <si>
    <t xml:space="preserve">Fcb= 36180 kN &gt; Fce=30200 kN</t>
  </si>
  <si>
    <t xml:space="preserve">Les forces centrifuges appliquées à la boue et à l'eau sont différentes d'où la séparation </t>
  </si>
  <si>
    <t xml:space="preserve">Partie 5</t>
  </si>
  <si>
    <t xml:space="preserve">Peut-on valider l’implantation d’une torchère ? </t>
  </si>
  <si>
    <t xml:space="preserve">Q5,1</t>
  </si>
  <si>
    <r>
      <rPr>
        <sz val="11"/>
        <color theme="1"/>
        <rFont val="Gill Sans MT"/>
        <family val="2"/>
        <charset val="1"/>
      </rPr>
      <t xml:space="preserve">V = H x </t>
    </r>
    <r>
      <rPr>
        <sz val="11"/>
        <color theme="1"/>
        <rFont val="Symbol"/>
        <family val="1"/>
        <charset val="2"/>
      </rPr>
      <t xml:space="preserve">p</t>
    </r>
    <r>
      <rPr>
        <sz val="11"/>
        <color theme="1"/>
        <rFont val="Gill Sans MT"/>
        <family val="2"/>
        <charset val="1"/>
      </rPr>
      <t xml:space="preserve"> x (R² - r²)
H = 7m = 7000 mm 
D = 1500 donc R = 750 mm 
Ep = 10 donc r = 740 mm 
V = 3,28 108 mm3 = 0,328 m3</t>
    </r>
  </si>
  <si>
    <t xml:space="preserve">Q5,2</t>
  </si>
  <si>
    <r>
      <rPr>
        <sz val="11"/>
        <color theme="1"/>
        <rFont val="Gill Sans MT"/>
        <family val="2"/>
        <charset val="1"/>
      </rPr>
      <t xml:space="preserve">Masse volumique donnée dans le DT (</t>
    </r>
    <r>
      <rPr>
        <sz val="11"/>
        <color theme="1"/>
        <rFont val="Symbol"/>
        <family val="1"/>
        <charset val="2"/>
      </rPr>
      <t xml:space="preserve">r</t>
    </r>
    <r>
      <rPr>
        <sz val="11"/>
        <color theme="1"/>
        <rFont val="Gill Sans MT"/>
        <family val="2"/>
        <charset val="1"/>
      </rPr>
      <t xml:space="preserve">= 8000 kg/m3) 
Masse = 8000 x 0,328 = 2624 kg</t>
    </r>
  </si>
  <si>
    <t xml:space="preserve">Charge = 9,81*(2624 + 1250) = 9,81*3874 = 38004 N 
Donc par cornière : Pc = 38004 / 4 = 9501 N </t>
  </si>
  <si>
    <t xml:space="preserve">Q5,3</t>
  </si>
  <si>
    <t xml:space="preserve">Calculer la bonne section à partir du DT : 4 m x 2,5 m = 10 m2</t>
  </si>
  <si>
    <t xml:space="preserve">Faire le bon calcul :  σsol = 200 000 / 10 = 20 000 Pa = 0,02 MPa</t>
  </si>
  <si>
    <t xml:space="preserve">Le sol supportera la charge. </t>
  </si>
  <si>
    <t xml:space="preserve">Q5,4</t>
  </si>
  <si>
    <t xml:space="preserve">Il est plus intéressant (écologie) de bruler le méthane plutôt que de le relâcher dans l’atmosphère. </t>
  </si>
  <si>
    <t xml:space="preserve">La dalle existante est capable de supporter la charge liée à la torchère. Le sol est capable de supporter la totalité de l’équipement.</t>
  </si>
  <si>
    <t xml:space="preserve"> /20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</si>
</sst>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\ %"/>
    <numFmt numFmtId="166" formatCode="0.00"/>
    <numFmt numFmtId="167" formatCode="0.0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Gill Sans MT"/>
      <family val="2"/>
      <charset val="1"/>
    </font>
    <font>
      <sz val="12"/>
      <color rgb="FFFF0000"/>
      <name val="Gill Sans MT"/>
      <family val="2"/>
      <charset val="1"/>
    </font>
    <font>
      <b val="true"/>
      <sz val="10"/>
      <color theme="1"/>
      <name val="Gill Sans MT"/>
      <family val="2"/>
      <charset val="1"/>
    </font>
    <font>
      <sz val="10"/>
      <color theme="1"/>
      <name val="Gill Sans MT"/>
      <family val="2"/>
      <charset val="1"/>
    </font>
    <font>
      <sz val="11"/>
      <color theme="5" tint="-0.25"/>
      <name val="Gill Sans MT"/>
      <family val="2"/>
      <charset val="1"/>
    </font>
    <font>
      <sz val="28"/>
      <color theme="1"/>
      <name val="Gill Sans MT"/>
      <family val="2"/>
      <charset val="1"/>
    </font>
    <font>
      <b val="true"/>
      <sz val="20"/>
      <color rgb="FFFF0000"/>
      <name val="Gill Sans MT"/>
      <family val="2"/>
      <charset val="1"/>
    </font>
    <font>
      <b val="true"/>
      <sz val="18"/>
      <color rgb="FFFF0000"/>
      <name val="Gill Sans MT"/>
      <family val="2"/>
      <charset val="1"/>
    </font>
    <font>
      <b val="true"/>
      <sz val="12"/>
      <color theme="1"/>
      <name val="Gill Sans MT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4"/>
      <name val="Gill Sans MT"/>
      <family val="2"/>
      <charset val="1"/>
    </font>
    <font>
      <b val="true"/>
      <sz val="12"/>
      <color rgb="FFFF0000"/>
      <name val="Gill Sans MT"/>
      <family val="2"/>
      <charset val="1"/>
    </font>
    <font>
      <b val="true"/>
      <sz val="11"/>
      <color theme="1"/>
      <name val="Gill Sans MT"/>
      <family val="2"/>
      <charset val="1"/>
    </font>
    <font>
      <b val="true"/>
      <sz val="8"/>
      <color theme="1"/>
      <name val="Gill Sans MT"/>
      <family val="2"/>
      <charset val="1"/>
    </font>
    <font>
      <b val="true"/>
      <sz val="8"/>
      <color theme="5" tint="-0.25"/>
      <name val="Gill Sans MT"/>
      <family val="2"/>
      <charset val="1"/>
    </font>
    <font>
      <sz val="14"/>
      <color theme="1"/>
      <name val="Calibri"/>
      <family val="2"/>
      <charset val="1"/>
    </font>
    <font>
      <sz val="14"/>
      <name val="Gill Sans MT"/>
      <family val="2"/>
      <charset val="1"/>
    </font>
    <font>
      <sz val="12"/>
      <color theme="1"/>
      <name val="Gill Sans MT"/>
      <family val="2"/>
      <charset val="1"/>
    </font>
    <font>
      <sz val="11"/>
      <name val="Gill Sans MT"/>
      <family val="2"/>
      <charset val="1"/>
    </font>
    <font>
      <sz val="10"/>
      <color theme="5" tint="-0.25"/>
      <name val="Gill Sans MT"/>
      <family val="2"/>
      <charset val="1"/>
    </font>
    <font>
      <b val="true"/>
      <sz val="10"/>
      <color rgb="FFFF0000"/>
      <name val="Gill Sans MT"/>
      <family val="2"/>
      <charset val="1"/>
    </font>
    <font>
      <sz val="11"/>
      <color theme="0"/>
      <name val="Gill Sans MT"/>
      <family val="2"/>
      <charset val="1"/>
    </font>
    <font>
      <sz val="11"/>
      <color theme="1"/>
      <name val="Symbol"/>
      <family val="1"/>
      <charset val="2"/>
    </font>
    <font>
      <sz val="11"/>
      <color rgb="FFFF0000"/>
      <name val="Gill Sans MT"/>
      <family val="2"/>
      <charset val="1"/>
    </font>
    <font>
      <b val="true"/>
      <sz val="11"/>
      <color rgb="FFFF0000"/>
      <name val="Gill Sans MT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ABF8F"/>
        <bgColor rgb="FFFAC090"/>
      </patternFill>
    </fill>
    <fill>
      <patternFill patternType="solid">
        <fgColor theme="9" tint="0.3999"/>
        <bgColor rgb="FFFABF8F"/>
      </patternFill>
    </fill>
  </fills>
  <borders count="21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0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90" wrapText="true" indent="0" shrinkToFit="false"/>
      <protection locked="true" hidden="false"/>
    </xf>
    <xf numFmtId="164" fontId="17" fillId="0" borderId="3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6" fontId="18" fillId="0" borderId="3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1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1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2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22" fillId="3" borderId="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3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7" fontId="15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1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5" fontId="4" fillId="0" borderId="3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7" fillId="0" borderId="3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22" fillId="0" borderId="3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8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1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1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7" fontId="15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1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2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2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21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1" fillId="2" borderId="1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3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2" fillId="4" borderId="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3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2" fillId="0" borderId="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1" fillId="2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6" fillId="2" borderId="1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1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15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1" fillId="2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2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4" fillId="0" borderId="18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2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27" fillId="0" borderId="19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10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53735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ABF8F"/>
      <rgbColor rgb="FFCC99FF"/>
      <rgbColor rgb="FFFAC09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1551960</xdr:colOff>
      <xdr:row>25</xdr:row>
      <xdr:rowOff>120600</xdr:rowOff>
    </xdr:from>
    <xdr:to>
      <xdr:col>4</xdr:col>
      <xdr:colOff>4690080</xdr:colOff>
      <xdr:row>27</xdr:row>
      <xdr:rowOff>404640</xdr:rowOff>
    </xdr:to>
    <xdr:pic>
      <xdr:nvPicPr>
        <xdr:cNvPr id="1" name="Image 4"/>
        <xdr:cNvPicPr/>
      </xdr:nvPicPr>
      <xdr:blipFill>
        <a:blip r:embed="rId1"/>
        <a:stretch/>
      </xdr:blipFill>
      <xdr:spPr>
        <a:xfrm>
          <a:off x="5428080" y="16465680"/>
          <a:ext cx="3138120" cy="1550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1551600</xdr:colOff>
      <xdr:row>17</xdr:row>
      <xdr:rowOff>108000</xdr:rowOff>
    </xdr:from>
    <xdr:to>
      <xdr:col>4</xdr:col>
      <xdr:colOff>4649760</xdr:colOff>
      <xdr:row>17</xdr:row>
      <xdr:rowOff>551160</xdr:rowOff>
    </xdr:to>
    <xdr:pic>
      <xdr:nvPicPr>
        <xdr:cNvPr id="2" name="Image 5"/>
        <xdr:cNvPicPr/>
      </xdr:nvPicPr>
      <xdr:blipFill>
        <a:blip r:embed="rId2"/>
        <a:srcRect l="0" t="0" r="0" b="54785"/>
        <a:stretch/>
      </xdr:blipFill>
      <xdr:spPr>
        <a:xfrm>
          <a:off x="5427720" y="11071440"/>
          <a:ext cx="3098160" cy="443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K54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O2" activeCellId="0" sqref="O2"/>
    </sheetView>
  </sheetViews>
  <sheetFormatPr defaultColWidth="11.18359375" defaultRowHeight="18" customHeight="false" zeroHeight="false" outlineLevelRow="0" outlineLevelCol="0"/>
  <cols>
    <col collapsed="false" customWidth="true" hidden="false" outlineLevel="0" max="1" min="1" style="1" width="5.18"/>
    <col collapsed="false" customWidth="true" hidden="false" outlineLevel="0" max="2" min="2" style="2" width="35.63"/>
    <col collapsed="false" customWidth="true" hidden="false" outlineLevel="0" max="3" min="3" style="3" width="8"/>
    <col collapsed="false" customWidth="true" hidden="false" outlineLevel="0" max="4" min="4" style="4" width="6.18"/>
    <col collapsed="false" customWidth="true" hidden="false" outlineLevel="0" max="5" min="5" style="5" width="67.73"/>
    <col collapsed="false" customWidth="true" hidden="false" outlineLevel="0" max="6" min="6" style="2" width="4.91"/>
    <col collapsed="false" customWidth="true" hidden="false" outlineLevel="0" max="9" min="7" style="2" width="3.73"/>
    <col collapsed="false" customWidth="true" hidden="false" outlineLevel="0" max="10" min="10" style="2" width="2.73"/>
    <col collapsed="false" customWidth="true" hidden="false" outlineLevel="0" max="11" min="11" style="6" width="5.45"/>
    <col collapsed="false" customWidth="true" hidden="false" outlineLevel="0" max="12" min="12" style="2" width="6.73"/>
    <col collapsed="false" customWidth="true" hidden="false" outlineLevel="0" max="13" min="13" style="2" width="2.54"/>
    <col collapsed="false" customWidth="true" hidden="false" outlineLevel="0" max="14" min="14" style="7" width="5.73"/>
    <col collapsed="false" customWidth="true" hidden="false" outlineLevel="0" max="15" min="15" style="8" width="6"/>
    <col collapsed="false" customWidth="true" hidden="false" outlineLevel="0" max="16" min="16" style="2" width="4.91"/>
    <col collapsed="false" customWidth="true" hidden="false" outlineLevel="0" max="19" min="17" style="2" width="3.73"/>
    <col collapsed="false" customWidth="true" hidden="false" outlineLevel="0" max="20" min="20" style="2" width="2.73"/>
    <col collapsed="false" customWidth="true" hidden="false" outlineLevel="0" max="21" min="21" style="6" width="5.45"/>
    <col collapsed="false" customWidth="true" hidden="false" outlineLevel="0" max="22" min="22" style="2" width="6.73"/>
    <col collapsed="false" customWidth="true" hidden="false" outlineLevel="0" max="23" min="23" style="2" width="2.54"/>
    <col collapsed="false" customWidth="true" hidden="false" outlineLevel="0" max="24" min="24" style="7" width="5.73"/>
    <col collapsed="false" customWidth="true" hidden="false" outlineLevel="0" max="25" min="25" style="8" width="6"/>
    <col collapsed="false" customWidth="true" hidden="false" outlineLevel="0" max="26" min="26" style="2" width="4.91"/>
    <col collapsed="false" customWidth="true" hidden="false" outlineLevel="0" max="29" min="27" style="2" width="3.73"/>
    <col collapsed="false" customWidth="true" hidden="false" outlineLevel="0" max="30" min="30" style="2" width="2.73"/>
    <col collapsed="false" customWidth="true" hidden="false" outlineLevel="0" max="31" min="31" style="6" width="5.45"/>
    <col collapsed="false" customWidth="true" hidden="false" outlineLevel="0" max="32" min="32" style="2" width="6.73"/>
    <col collapsed="false" customWidth="true" hidden="false" outlineLevel="0" max="33" min="33" style="2" width="2.54"/>
    <col collapsed="false" customWidth="true" hidden="false" outlineLevel="0" max="34" min="34" style="7" width="5.73"/>
    <col collapsed="false" customWidth="true" hidden="false" outlineLevel="0" max="35" min="35" style="8" width="6"/>
    <col collapsed="false" customWidth="true" hidden="false" outlineLevel="0" max="36" min="36" style="2" width="4.91"/>
    <col collapsed="false" customWidth="true" hidden="false" outlineLevel="0" max="39" min="37" style="2" width="3.73"/>
    <col collapsed="false" customWidth="true" hidden="false" outlineLevel="0" max="40" min="40" style="2" width="2.73"/>
    <col collapsed="false" customWidth="true" hidden="false" outlineLevel="0" max="41" min="41" style="6" width="5.45"/>
    <col collapsed="false" customWidth="true" hidden="false" outlineLevel="0" max="42" min="42" style="2" width="6.73"/>
    <col collapsed="false" customWidth="true" hidden="false" outlineLevel="0" max="43" min="43" style="2" width="2.54"/>
    <col collapsed="false" customWidth="true" hidden="false" outlineLevel="0" max="44" min="44" style="7" width="5.73"/>
    <col collapsed="false" customWidth="true" hidden="false" outlineLevel="0" max="45" min="45" style="8" width="6"/>
    <col collapsed="false" customWidth="true" hidden="false" outlineLevel="0" max="46" min="46" style="2" width="4.91"/>
    <col collapsed="false" customWidth="true" hidden="false" outlineLevel="0" max="49" min="47" style="2" width="3.73"/>
    <col collapsed="false" customWidth="true" hidden="false" outlineLevel="0" max="50" min="50" style="2" width="2.73"/>
    <col collapsed="false" customWidth="true" hidden="false" outlineLevel="0" max="51" min="51" style="6" width="5.45"/>
    <col collapsed="false" customWidth="true" hidden="false" outlineLevel="0" max="52" min="52" style="2" width="6.73"/>
    <col collapsed="false" customWidth="true" hidden="false" outlineLevel="0" max="53" min="53" style="2" width="2.54"/>
    <col collapsed="false" customWidth="true" hidden="false" outlineLevel="0" max="54" min="54" style="7" width="5.73"/>
    <col collapsed="false" customWidth="true" hidden="false" outlineLevel="0" max="55" min="55" style="8" width="6"/>
    <col collapsed="false" customWidth="true" hidden="false" outlineLevel="0" max="56" min="56" style="2" width="4.91"/>
    <col collapsed="false" customWidth="true" hidden="false" outlineLevel="0" max="59" min="57" style="2" width="3.73"/>
    <col collapsed="false" customWidth="true" hidden="false" outlineLevel="0" max="60" min="60" style="2" width="2.73"/>
    <col collapsed="false" customWidth="true" hidden="false" outlineLevel="0" max="61" min="61" style="6" width="5.45"/>
    <col collapsed="false" customWidth="true" hidden="false" outlineLevel="0" max="62" min="62" style="2" width="6.73"/>
    <col collapsed="false" customWidth="true" hidden="false" outlineLevel="0" max="63" min="63" style="2" width="2.54"/>
    <col collapsed="false" customWidth="true" hidden="false" outlineLevel="0" max="64" min="64" style="7" width="5.73"/>
    <col collapsed="false" customWidth="true" hidden="false" outlineLevel="0" max="65" min="65" style="8" width="6"/>
    <col collapsed="false" customWidth="true" hidden="false" outlineLevel="0" max="66" min="66" style="2" width="4.91"/>
    <col collapsed="false" customWidth="true" hidden="false" outlineLevel="0" max="69" min="67" style="2" width="3.73"/>
    <col collapsed="false" customWidth="true" hidden="false" outlineLevel="0" max="70" min="70" style="2" width="2.73"/>
    <col collapsed="false" customWidth="true" hidden="false" outlineLevel="0" max="71" min="71" style="6" width="5.45"/>
    <col collapsed="false" customWidth="true" hidden="false" outlineLevel="0" max="72" min="72" style="2" width="6.73"/>
    <col collapsed="false" customWidth="true" hidden="false" outlineLevel="0" max="73" min="73" style="2" width="2.54"/>
    <col collapsed="false" customWidth="true" hidden="false" outlineLevel="0" max="74" min="74" style="7" width="5.73"/>
    <col collapsed="false" customWidth="true" hidden="false" outlineLevel="0" max="75" min="75" style="8" width="6"/>
    <col collapsed="false" customWidth="true" hidden="false" outlineLevel="0" max="76" min="76" style="2" width="4.91"/>
    <col collapsed="false" customWidth="true" hidden="false" outlineLevel="0" max="79" min="77" style="2" width="3.73"/>
    <col collapsed="false" customWidth="true" hidden="false" outlineLevel="0" max="80" min="80" style="2" width="2.73"/>
    <col collapsed="false" customWidth="true" hidden="false" outlineLevel="0" max="81" min="81" style="6" width="5.45"/>
    <col collapsed="false" customWidth="true" hidden="false" outlineLevel="0" max="82" min="82" style="2" width="6.73"/>
    <col collapsed="false" customWidth="true" hidden="false" outlineLevel="0" max="83" min="83" style="2" width="2.54"/>
    <col collapsed="false" customWidth="true" hidden="false" outlineLevel="0" max="84" min="84" style="7" width="5.73"/>
    <col collapsed="false" customWidth="true" hidden="false" outlineLevel="0" max="85" min="85" style="8" width="6"/>
    <col collapsed="false" customWidth="true" hidden="false" outlineLevel="0" max="86" min="86" style="2" width="4.91"/>
    <col collapsed="false" customWidth="true" hidden="false" outlineLevel="0" max="89" min="87" style="2" width="3.73"/>
    <col collapsed="false" customWidth="true" hidden="false" outlineLevel="0" max="90" min="90" style="2" width="2.73"/>
    <col collapsed="false" customWidth="true" hidden="false" outlineLevel="0" max="91" min="91" style="6" width="5.45"/>
    <col collapsed="false" customWidth="true" hidden="false" outlineLevel="0" max="92" min="92" style="2" width="6.73"/>
    <col collapsed="false" customWidth="true" hidden="false" outlineLevel="0" max="93" min="93" style="2" width="2.54"/>
    <col collapsed="false" customWidth="true" hidden="false" outlineLevel="0" max="94" min="94" style="7" width="5.73"/>
    <col collapsed="false" customWidth="true" hidden="false" outlineLevel="0" max="95" min="95" style="8" width="6"/>
    <col collapsed="false" customWidth="true" hidden="false" outlineLevel="0" max="96" min="96" style="2" width="4.91"/>
    <col collapsed="false" customWidth="true" hidden="false" outlineLevel="0" max="99" min="97" style="2" width="3.73"/>
    <col collapsed="false" customWidth="true" hidden="false" outlineLevel="0" max="100" min="100" style="2" width="2.73"/>
    <col collapsed="false" customWidth="true" hidden="false" outlineLevel="0" max="101" min="101" style="6" width="5.45"/>
    <col collapsed="false" customWidth="true" hidden="false" outlineLevel="0" max="102" min="102" style="2" width="6.73"/>
    <col collapsed="false" customWidth="true" hidden="false" outlineLevel="0" max="103" min="103" style="2" width="2.54"/>
    <col collapsed="false" customWidth="true" hidden="false" outlineLevel="0" max="104" min="104" style="7" width="5.73"/>
    <col collapsed="false" customWidth="true" hidden="false" outlineLevel="0" max="105" min="105" style="8" width="6"/>
    <col collapsed="false" customWidth="true" hidden="false" outlineLevel="0" max="106" min="106" style="2" width="4.91"/>
    <col collapsed="false" customWidth="true" hidden="false" outlineLevel="0" max="109" min="107" style="2" width="3.73"/>
    <col collapsed="false" customWidth="true" hidden="false" outlineLevel="0" max="110" min="110" style="2" width="2.73"/>
    <col collapsed="false" customWidth="true" hidden="false" outlineLevel="0" max="111" min="111" style="6" width="5.45"/>
    <col collapsed="false" customWidth="true" hidden="false" outlineLevel="0" max="112" min="112" style="2" width="6.73"/>
    <col collapsed="false" customWidth="true" hidden="false" outlineLevel="0" max="113" min="113" style="2" width="2.54"/>
    <col collapsed="false" customWidth="true" hidden="false" outlineLevel="0" max="114" min="114" style="7" width="5.73"/>
    <col collapsed="false" customWidth="true" hidden="false" outlineLevel="0" max="115" min="115" style="8" width="6"/>
    <col collapsed="false" customWidth="true" hidden="false" outlineLevel="0" max="116" min="116" style="2" width="4.91"/>
    <col collapsed="false" customWidth="true" hidden="false" outlineLevel="0" max="119" min="117" style="2" width="3.73"/>
    <col collapsed="false" customWidth="true" hidden="false" outlineLevel="0" max="120" min="120" style="2" width="2.73"/>
    <col collapsed="false" customWidth="true" hidden="false" outlineLevel="0" max="121" min="121" style="6" width="5.45"/>
    <col collapsed="false" customWidth="true" hidden="false" outlineLevel="0" max="122" min="122" style="2" width="6.73"/>
    <col collapsed="false" customWidth="true" hidden="false" outlineLevel="0" max="123" min="123" style="2" width="2.54"/>
    <col collapsed="false" customWidth="true" hidden="false" outlineLevel="0" max="124" min="124" style="7" width="5.73"/>
    <col collapsed="false" customWidth="true" hidden="false" outlineLevel="0" max="125" min="125" style="8" width="6"/>
    <col collapsed="false" customWidth="true" hidden="false" outlineLevel="0" max="126" min="126" style="2" width="4.91"/>
    <col collapsed="false" customWidth="true" hidden="false" outlineLevel="0" max="129" min="127" style="2" width="3.73"/>
    <col collapsed="false" customWidth="true" hidden="false" outlineLevel="0" max="130" min="130" style="2" width="2.73"/>
    <col collapsed="false" customWidth="true" hidden="false" outlineLevel="0" max="131" min="131" style="6" width="5.45"/>
    <col collapsed="false" customWidth="true" hidden="false" outlineLevel="0" max="132" min="132" style="2" width="6.73"/>
    <col collapsed="false" customWidth="true" hidden="false" outlineLevel="0" max="133" min="133" style="2" width="2.54"/>
    <col collapsed="false" customWidth="true" hidden="false" outlineLevel="0" max="134" min="134" style="7" width="5.73"/>
    <col collapsed="false" customWidth="true" hidden="false" outlineLevel="0" max="135" min="135" style="8" width="6"/>
    <col collapsed="false" customWidth="true" hidden="false" outlineLevel="0" max="136" min="136" style="2" width="4.91"/>
    <col collapsed="false" customWidth="true" hidden="false" outlineLevel="0" max="139" min="137" style="2" width="3.73"/>
    <col collapsed="false" customWidth="true" hidden="false" outlineLevel="0" max="140" min="140" style="2" width="2.73"/>
    <col collapsed="false" customWidth="true" hidden="false" outlineLevel="0" max="141" min="141" style="6" width="5.45"/>
    <col collapsed="false" customWidth="true" hidden="false" outlineLevel="0" max="142" min="142" style="2" width="6.73"/>
    <col collapsed="false" customWidth="true" hidden="false" outlineLevel="0" max="143" min="143" style="2" width="2.54"/>
    <col collapsed="false" customWidth="true" hidden="false" outlineLevel="0" max="144" min="144" style="7" width="5.73"/>
    <col collapsed="false" customWidth="true" hidden="false" outlineLevel="0" max="145" min="145" style="8" width="6"/>
    <col collapsed="false" customWidth="true" hidden="false" outlineLevel="0" max="146" min="146" style="2" width="4.91"/>
    <col collapsed="false" customWidth="true" hidden="false" outlineLevel="0" max="149" min="147" style="2" width="3.73"/>
    <col collapsed="false" customWidth="true" hidden="false" outlineLevel="0" max="150" min="150" style="2" width="2.73"/>
    <col collapsed="false" customWidth="true" hidden="false" outlineLevel="0" max="151" min="151" style="6" width="5.45"/>
    <col collapsed="false" customWidth="true" hidden="false" outlineLevel="0" max="152" min="152" style="2" width="6.73"/>
    <col collapsed="false" customWidth="true" hidden="false" outlineLevel="0" max="153" min="153" style="2" width="2.54"/>
    <col collapsed="false" customWidth="true" hidden="false" outlineLevel="0" max="154" min="154" style="7" width="5.73"/>
    <col collapsed="false" customWidth="true" hidden="false" outlineLevel="0" max="155" min="155" style="8" width="6"/>
    <col collapsed="false" customWidth="true" hidden="false" outlineLevel="0" max="156" min="156" style="2" width="4.91"/>
    <col collapsed="false" customWidth="true" hidden="false" outlineLevel="0" max="159" min="157" style="2" width="3.73"/>
    <col collapsed="false" customWidth="true" hidden="false" outlineLevel="0" max="160" min="160" style="2" width="2.73"/>
    <col collapsed="false" customWidth="true" hidden="false" outlineLevel="0" max="161" min="161" style="6" width="5.45"/>
    <col collapsed="false" customWidth="true" hidden="false" outlineLevel="0" max="162" min="162" style="2" width="6.73"/>
    <col collapsed="false" customWidth="true" hidden="false" outlineLevel="0" max="163" min="163" style="2" width="2.54"/>
    <col collapsed="false" customWidth="true" hidden="false" outlineLevel="0" max="164" min="164" style="7" width="5.73"/>
    <col collapsed="false" customWidth="true" hidden="false" outlineLevel="0" max="165" min="165" style="8" width="6"/>
    <col collapsed="false" customWidth="true" hidden="false" outlineLevel="0" max="166" min="166" style="2" width="4.91"/>
    <col collapsed="false" customWidth="true" hidden="false" outlineLevel="0" max="169" min="167" style="2" width="3.73"/>
    <col collapsed="false" customWidth="true" hidden="false" outlineLevel="0" max="170" min="170" style="2" width="2.73"/>
    <col collapsed="false" customWidth="true" hidden="false" outlineLevel="0" max="171" min="171" style="6" width="5.45"/>
    <col collapsed="false" customWidth="true" hidden="false" outlineLevel="0" max="172" min="172" style="2" width="6.73"/>
    <col collapsed="false" customWidth="true" hidden="false" outlineLevel="0" max="173" min="173" style="2" width="2.54"/>
    <col collapsed="false" customWidth="true" hidden="false" outlineLevel="0" max="174" min="174" style="7" width="5.73"/>
    <col collapsed="false" customWidth="true" hidden="false" outlineLevel="0" max="175" min="175" style="8" width="6"/>
    <col collapsed="false" customWidth="true" hidden="false" outlineLevel="0" max="176" min="176" style="2" width="4.91"/>
    <col collapsed="false" customWidth="true" hidden="false" outlineLevel="0" max="179" min="177" style="2" width="3.73"/>
    <col collapsed="false" customWidth="true" hidden="false" outlineLevel="0" max="180" min="180" style="2" width="2.73"/>
    <col collapsed="false" customWidth="true" hidden="false" outlineLevel="0" max="181" min="181" style="6" width="5.45"/>
    <col collapsed="false" customWidth="true" hidden="false" outlineLevel="0" max="182" min="182" style="2" width="6.73"/>
    <col collapsed="false" customWidth="true" hidden="false" outlineLevel="0" max="183" min="183" style="2" width="2.54"/>
    <col collapsed="false" customWidth="true" hidden="false" outlineLevel="0" max="184" min="184" style="7" width="5.73"/>
    <col collapsed="false" customWidth="true" hidden="false" outlineLevel="0" max="185" min="185" style="8" width="6"/>
    <col collapsed="false" customWidth="true" hidden="false" outlineLevel="0" max="186" min="186" style="2" width="4.91"/>
    <col collapsed="false" customWidth="true" hidden="false" outlineLevel="0" max="189" min="187" style="2" width="3.73"/>
    <col collapsed="false" customWidth="true" hidden="false" outlineLevel="0" max="190" min="190" style="2" width="2.73"/>
    <col collapsed="false" customWidth="true" hidden="false" outlineLevel="0" max="191" min="191" style="6" width="5.45"/>
    <col collapsed="false" customWidth="true" hidden="false" outlineLevel="0" max="192" min="192" style="2" width="6.73"/>
    <col collapsed="false" customWidth="true" hidden="false" outlineLevel="0" max="193" min="193" style="2" width="2.54"/>
    <col collapsed="false" customWidth="true" hidden="false" outlineLevel="0" max="194" min="194" style="7" width="5.73"/>
    <col collapsed="false" customWidth="true" hidden="false" outlineLevel="0" max="195" min="195" style="8" width="6"/>
    <col collapsed="false" customWidth="true" hidden="false" outlineLevel="0" max="196" min="196" style="2" width="4.91"/>
    <col collapsed="false" customWidth="true" hidden="false" outlineLevel="0" max="199" min="197" style="2" width="3.73"/>
    <col collapsed="false" customWidth="true" hidden="false" outlineLevel="0" max="200" min="200" style="2" width="2.73"/>
    <col collapsed="false" customWidth="true" hidden="false" outlineLevel="0" max="201" min="201" style="6" width="5.45"/>
    <col collapsed="false" customWidth="true" hidden="false" outlineLevel="0" max="202" min="202" style="2" width="6.73"/>
    <col collapsed="false" customWidth="true" hidden="false" outlineLevel="0" max="203" min="203" style="2" width="2.54"/>
    <col collapsed="false" customWidth="true" hidden="false" outlineLevel="0" max="204" min="204" style="7" width="5.73"/>
    <col collapsed="false" customWidth="true" hidden="false" outlineLevel="0" max="205" min="205" style="8" width="6"/>
    <col collapsed="false" customWidth="true" hidden="false" outlineLevel="0" max="206" min="206" style="1" width="4.91"/>
    <col collapsed="false" customWidth="true" hidden="false" outlineLevel="0" max="209" min="207" style="2" width="3.73"/>
    <col collapsed="false" customWidth="true" hidden="false" outlineLevel="0" max="210" min="210" style="2" width="2.73"/>
    <col collapsed="false" customWidth="true" hidden="false" outlineLevel="0" max="211" min="211" style="6" width="5.45"/>
    <col collapsed="false" customWidth="true" hidden="false" outlineLevel="0" max="212" min="212" style="2" width="6.73"/>
    <col collapsed="false" customWidth="true" hidden="false" outlineLevel="0" max="213" min="213" style="2" width="2.54"/>
    <col collapsed="false" customWidth="true" hidden="false" outlineLevel="0" max="214" min="214" style="7" width="5.73"/>
    <col collapsed="false" customWidth="true" hidden="false" outlineLevel="0" max="215" min="215" style="8" width="6"/>
    <col collapsed="false" customWidth="true" hidden="false" outlineLevel="0" max="216" min="216" style="2" width="4.91"/>
    <col collapsed="false" customWidth="true" hidden="false" outlineLevel="0" max="219" min="217" style="2" width="3.73"/>
    <col collapsed="false" customWidth="true" hidden="false" outlineLevel="0" max="220" min="220" style="2" width="2.73"/>
    <col collapsed="false" customWidth="true" hidden="false" outlineLevel="0" max="221" min="221" style="6" width="5.45"/>
    <col collapsed="false" customWidth="true" hidden="false" outlineLevel="0" max="222" min="222" style="2" width="6.73"/>
    <col collapsed="false" customWidth="true" hidden="false" outlineLevel="0" max="223" min="223" style="2" width="2.54"/>
    <col collapsed="false" customWidth="true" hidden="false" outlineLevel="0" max="224" min="224" style="7" width="5.73"/>
    <col collapsed="false" customWidth="true" hidden="false" outlineLevel="0" max="225" min="225" style="8" width="6"/>
    <col collapsed="false" customWidth="true" hidden="false" outlineLevel="0" max="226" min="226" style="2" width="4.91"/>
    <col collapsed="false" customWidth="true" hidden="false" outlineLevel="0" max="229" min="227" style="2" width="3.73"/>
    <col collapsed="false" customWidth="true" hidden="false" outlineLevel="0" max="230" min="230" style="2" width="2.73"/>
    <col collapsed="false" customWidth="true" hidden="false" outlineLevel="0" max="231" min="231" style="6" width="5.45"/>
    <col collapsed="false" customWidth="true" hidden="false" outlineLevel="0" max="232" min="232" style="2" width="6.73"/>
    <col collapsed="false" customWidth="true" hidden="false" outlineLevel="0" max="233" min="233" style="2" width="2.54"/>
    <col collapsed="false" customWidth="true" hidden="false" outlineLevel="0" max="234" min="234" style="7" width="5.73"/>
    <col collapsed="false" customWidth="true" hidden="false" outlineLevel="0" max="235" min="235" style="8" width="6"/>
    <col collapsed="false" customWidth="true" hidden="false" outlineLevel="0" max="236" min="236" style="2" width="4.91"/>
    <col collapsed="false" customWidth="true" hidden="false" outlineLevel="0" max="239" min="237" style="2" width="3.73"/>
    <col collapsed="false" customWidth="true" hidden="false" outlineLevel="0" max="240" min="240" style="2" width="2.73"/>
    <col collapsed="false" customWidth="true" hidden="false" outlineLevel="0" max="241" min="241" style="6" width="5.45"/>
    <col collapsed="false" customWidth="true" hidden="false" outlineLevel="0" max="242" min="242" style="2" width="6.73"/>
    <col collapsed="false" customWidth="true" hidden="false" outlineLevel="0" max="243" min="243" style="2" width="2.54"/>
    <col collapsed="false" customWidth="true" hidden="false" outlineLevel="0" max="244" min="244" style="7" width="5.73"/>
    <col collapsed="false" customWidth="true" hidden="false" outlineLevel="0" max="245" min="245" style="8" width="6"/>
    <col collapsed="false" customWidth="false" hidden="false" outlineLevel="0" max="16374" min="246" style="2" width="11.18"/>
    <col collapsed="false" customWidth="true" hidden="false" outlineLevel="0" max="16384" min="16375" style="2" width="11.53"/>
  </cols>
  <sheetData>
    <row r="1" s="13" customFormat="true" ht="41.25" hidden="false" customHeight="true" outlineLevel="0" collapsed="false">
      <c r="A1" s="9"/>
      <c r="B1" s="10" t="s">
        <v>0</v>
      </c>
      <c r="C1" s="11" t="s">
        <v>1</v>
      </c>
      <c r="D1" s="11"/>
      <c r="E1" s="11"/>
      <c r="F1" s="12" t="str">
        <f aca="false">$B4</f>
        <v>Élève 1</v>
      </c>
      <c r="G1" s="12"/>
      <c r="H1" s="12"/>
      <c r="I1" s="12"/>
      <c r="J1" s="12"/>
      <c r="K1" s="12"/>
      <c r="L1" s="12"/>
      <c r="M1" s="12"/>
      <c r="N1" s="12"/>
      <c r="O1" s="12"/>
      <c r="P1" s="12" t="str">
        <f aca="false">$B5</f>
        <v>Élève 2</v>
      </c>
      <c r="Q1" s="12"/>
      <c r="R1" s="12"/>
      <c r="S1" s="12"/>
      <c r="T1" s="12"/>
      <c r="U1" s="12"/>
      <c r="V1" s="12"/>
      <c r="W1" s="12"/>
      <c r="X1" s="12"/>
      <c r="Y1" s="12"/>
      <c r="Z1" s="12" t="str">
        <f aca="false">$B6</f>
        <v>Élève 3</v>
      </c>
      <c r="AA1" s="12"/>
      <c r="AB1" s="12"/>
      <c r="AC1" s="12"/>
      <c r="AD1" s="12"/>
      <c r="AE1" s="12"/>
      <c r="AF1" s="12"/>
      <c r="AG1" s="12"/>
      <c r="AH1" s="12"/>
      <c r="AI1" s="12"/>
      <c r="AJ1" s="12" t="str">
        <f aca="false">$B7</f>
        <v>Élève 4</v>
      </c>
      <c r="AK1" s="12"/>
      <c r="AL1" s="12"/>
      <c r="AM1" s="12"/>
      <c r="AN1" s="12"/>
      <c r="AO1" s="12"/>
      <c r="AP1" s="12"/>
      <c r="AQ1" s="12"/>
      <c r="AR1" s="12"/>
      <c r="AS1" s="12"/>
      <c r="AT1" s="12" t="str">
        <f aca="false">$B8</f>
        <v>Élève 5</v>
      </c>
      <c r="AU1" s="12"/>
      <c r="AV1" s="12"/>
      <c r="AW1" s="12"/>
      <c r="AX1" s="12"/>
      <c r="AY1" s="12"/>
      <c r="AZ1" s="12"/>
      <c r="BA1" s="12"/>
      <c r="BB1" s="12"/>
      <c r="BC1" s="12"/>
      <c r="BD1" s="12" t="str">
        <f aca="false">$B9</f>
        <v>Élève 6</v>
      </c>
      <c r="BE1" s="12"/>
      <c r="BF1" s="12"/>
      <c r="BG1" s="12"/>
      <c r="BH1" s="12"/>
      <c r="BI1" s="12"/>
      <c r="BJ1" s="12"/>
      <c r="BK1" s="12"/>
      <c r="BL1" s="12"/>
      <c r="BM1" s="12"/>
      <c r="BN1" s="12" t="str">
        <f aca="false">$B10</f>
        <v>Élève 7</v>
      </c>
      <c r="BO1" s="12"/>
      <c r="BP1" s="12"/>
      <c r="BQ1" s="12"/>
      <c r="BR1" s="12"/>
      <c r="BS1" s="12"/>
      <c r="BT1" s="12"/>
      <c r="BU1" s="12"/>
      <c r="BV1" s="12"/>
      <c r="BW1" s="12"/>
      <c r="BX1" s="12" t="str">
        <f aca="false">$B11</f>
        <v>Élève 8</v>
      </c>
      <c r="BY1" s="12"/>
      <c r="BZ1" s="12"/>
      <c r="CA1" s="12"/>
      <c r="CB1" s="12"/>
      <c r="CC1" s="12"/>
      <c r="CD1" s="12"/>
      <c r="CE1" s="12"/>
      <c r="CF1" s="12"/>
      <c r="CG1" s="12"/>
      <c r="CH1" s="12" t="str">
        <f aca="false">$B12</f>
        <v>Élève 9</v>
      </c>
      <c r="CI1" s="12"/>
      <c r="CJ1" s="12"/>
      <c r="CK1" s="12"/>
      <c r="CL1" s="12"/>
      <c r="CM1" s="12"/>
      <c r="CN1" s="12"/>
      <c r="CO1" s="12"/>
      <c r="CP1" s="12"/>
      <c r="CQ1" s="12"/>
      <c r="CR1" s="12" t="str">
        <f aca="false">$B13</f>
        <v>Élève 10</v>
      </c>
      <c r="CS1" s="12"/>
      <c r="CT1" s="12"/>
      <c r="CU1" s="12"/>
      <c r="CV1" s="12"/>
      <c r="CW1" s="12"/>
      <c r="CX1" s="12"/>
      <c r="CY1" s="12"/>
      <c r="CZ1" s="12"/>
      <c r="DA1" s="12"/>
      <c r="DB1" s="12" t="str">
        <f aca="false">$B14</f>
        <v>Élève 11</v>
      </c>
      <c r="DC1" s="12"/>
      <c r="DD1" s="12"/>
      <c r="DE1" s="12"/>
      <c r="DF1" s="12"/>
      <c r="DG1" s="12"/>
      <c r="DH1" s="12"/>
      <c r="DI1" s="12"/>
      <c r="DJ1" s="12"/>
      <c r="DK1" s="12"/>
      <c r="DL1" s="12" t="str">
        <f aca="false">$B15</f>
        <v>Élève 12</v>
      </c>
      <c r="DM1" s="12"/>
      <c r="DN1" s="12"/>
      <c r="DO1" s="12"/>
      <c r="DP1" s="12"/>
      <c r="DQ1" s="12"/>
      <c r="DR1" s="12"/>
      <c r="DS1" s="12"/>
      <c r="DT1" s="12"/>
      <c r="DU1" s="12"/>
      <c r="DV1" s="12" t="str">
        <f aca="false">$B16</f>
        <v>Élève 13</v>
      </c>
      <c r="DW1" s="12"/>
      <c r="DX1" s="12"/>
      <c r="DY1" s="12"/>
      <c r="DZ1" s="12"/>
      <c r="EA1" s="12"/>
      <c r="EB1" s="12"/>
      <c r="EC1" s="12"/>
      <c r="ED1" s="12"/>
      <c r="EE1" s="12"/>
      <c r="EF1" s="12" t="str">
        <f aca="false">$B17</f>
        <v>Élève 14</v>
      </c>
      <c r="EG1" s="12"/>
      <c r="EH1" s="12"/>
      <c r="EI1" s="12"/>
      <c r="EJ1" s="12"/>
      <c r="EK1" s="12"/>
      <c r="EL1" s="12"/>
      <c r="EM1" s="12"/>
      <c r="EN1" s="12"/>
      <c r="EO1" s="12"/>
      <c r="EP1" s="12" t="str">
        <f aca="false">$B18</f>
        <v>Élève 15</v>
      </c>
      <c r="EQ1" s="12"/>
      <c r="ER1" s="12"/>
      <c r="ES1" s="12"/>
      <c r="ET1" s="12"/>
      <c r="EU1" s="12"/>
      <c r="EV1" s="12"/>
      <c r="EW1" s="12"/>
      <c r="EX1" s="12"/>
      <c r="EY1" s="12"/>
      <c r="EZ1" s="12" t="str">
        <f aca="false">$B19</f>
        <v>Élève 16</v>
      </c>
      <c r="FA1" s="12"/>
      <c r="FB1" s="12"/>
      <c r="FC1" s="12"/>
      <c r="FD1" s="12"/>
      <c r="FE1" s="12"/>
      <c r="FF1" s="12"/>
      <c r="FG1" s="12"/>
      <c r="FH1" s="12"/>
      <c r="FI1" s="12"/>
      <c r="FJ1" s="12" t="str">
        <f aca="false">$B20</f>
        <v>Élève 17</v>
      </c>
      <c r="FK1" s="12"/>
      <c r="FL1" s="12"/>
      <c r="FM1" s="12"/>
      <c r="FN1" s="12"/>
      <c r="FO1" s="12"/>
      <c r="FP1" s="12"/>
      <c r="FQ1" s="12"/>
      <c r="FR1" s="12"/>
      <c r="FS1" s="12"/>
      <c r="FT1" s="12" t="str">
        <f aca="false">$B21</f>
        <v>Élève 18</v>
      </c>
      <c r="FU1" s="12"/>
      <c r="FV1" s="12"/>
      <c r="FW1" s="12"/>
      <c r="FX1" s="12"/>
      <c r="FY1" s="12"/>
      <c r="FZ1" s="12"/>
      <c r="GA1" s="12"/>
      <c r="GB1" s="12"/>
      <c r="GC1" s="12"/>
      <c r="GD1" s="12" t="str">
        <f aca="false">$B22</f>
        <v>Élève 19</v>
      </c>
      <c r="GE1" s="12"/>
      <c r="GF1" s="12"/>
      <c r="GG1" s="12"/>
      <c r="GH1" s="12"/>
      <c r="GI1" s="12"/>
      <c r="GJ1" s="12"/>
      <c r="GK1" s="12"/>
      <c r="GL1" s="12"/>
      <c r="GM1" s="12"/>
      <c r="GN1" s="12" t="str">
        <f aca="false">$B23</f>
        <v>Élève 20</v>
      </c>
      <c r="GO1" s="12"/>
      <c r="GP1" s="12"/>
      <c r="GQ1" s="12"/>
      <c r="GR1" s="12"/>
      <c r="GS1" s="12"/>
      <c r="GT1" s="12"/>
      <c r="GU1" s="12"/>
      <c r="GV1" s="12"/>
      <c r="GW1" s="12"/>
      <c r="GX1" s="12" t="str">
        <f aca="false">$B24</f>
        <v>Élève 21</v>
      </c>
      <c r="GY1" s="12"/>
      <c r="GZ1" s="12"/>
      <c r="HA1" s="12"/>
      <c r="HB1" s="12"/>
      <c r="HC1" s="12"/>
      <c r="HD1" s="12"/>
      <c r="HE1" s="12"/>
      <c r="HF1" s="12"/>
      <c r="HG1" s="12"/>
      <c r="HH1" s="12" t="str">
        <f aca="false">$B25</f>
        <v>Élève 22</v>
      </c>
      <c r="HI1" s="12"/>
      <c r="HJ1" s="12"/>
      <c r="HK1" s="12"/>
      <c r="HL1" s="12"/>
      <c r="HM1" s="12"/>
      <c r="HN1" s="12"/>
      <c r="HO1" s="12"/>
      <c r="HP1" s="12"/>
      <c r="HQ1" s="12"/>
      <c r="HR1" s="12" t="str">
        <f aca="false">$B26</f>
        <v>Élève 23</v>
      </c>
      <c r="HS1" s="12"/>
      <c r="HT1" s="12"/>
      <c r="HU1" s="12"/>
      <c r="HV1" s="12"/>
      <c r="HW1" s="12"/>
      <c r="HX1" s="12"/>
      <c r="HY1" s="12"/>
      <c r="HZ1" s="12"/>
      <c r="IA1" s="12"/>
      <c r="IB1" s="12" t="str">
        <f aca="false">$B27</f>
        <v>Élève 24</v>
      </c>
      <c r="IC1" s="12"/>
      <c r="ID1" s="12"/>
      <c r="IE1" s="12"/>
      <c r="IF1" s="12"/>
      <c r="IG1" s="12"/>
      <c r="IH1" s="12"/>
      <c r="II1" s="12"/>
      <c r="IJ1" s="12"/>
      <c r="IK1" s="12"/>
    </row>
    <row r="2" s="24" customFormat="true" ht="33" hidden="false" customHeight="true" outlineLevel="0" collapsed="false">
      <c r="A2" s="14"/>
      <c r="B2" s="15" t="s">
        <v>2</v>
      </c>
      <c r="C2" s="16" t="s">
        <v>3</v>
      </c>
      <c r="D2" s="16"/>
      <c r="E2" s="17" t="s">
        <v>4</v>
      </c>
      <c r="F2" s="18" t="s">
        <v>5</v>
      </c>
      <c r="G2" s="19" t="n">
        <v>0</v>
      </c>
      <c r="H2" s="19" t="n">
        <v>1</v>
      </c>
      <c r="I2" s="20" t="n">
        <v>2</v>
      </c>
      <c r="J2" s="21"/>
      <c r="K2" s="22"/>
      <c r="L2" s="23" t="s">
        <v>6</v>
      </c>
      <c r="N2" s="25" t="s">
        <v>7</v>
      </c>
      <c r="O2" s="26" t="s">
        <v>8</v>
      </c>
      <c r="P2" s="18" t="s">
        <v>5</v>
      </c>
      <c r="Q2" s="19" t="n">
        <v>0</v>
      </c>
      <c r="R2" s="19" t="n">
        <v>1</v>
      </c>
      <c r="S2" s="20" t="n">
        <v>2</v>
      </c>
      <c r="T2" s="21"/>
      <c r="U2" s="22"/>
      <c r="V2" s="23" t="s">
        <v>6</v>
      </c>
      <c r="X2" s="25" t="s">
        <v>7</v>
      </c>
      <c r="Y2" s="26" t="s">
        <v>8</v>
      </c>
      <c r="Z2" s="18" t="s">
        <v>5</v>
      </c>
      <c r="AA2" s="19" t="n">
        <v>0</v>
      </c>
      <c r="AB2" s="19" t="n">
        <v>1</v>
      </c>
      <c r="AC2" s="20" t="n">
        <v>2</v>
      </c>
      <c r="AD2" s="21"/>
      <c r="AE2" s="22"/>
      <c r="AF2" s="23" t="s">
        <v>6</v>
      </c>
      <c r="AH2" s="25" t="s">
        <v>7</v>
      </c>
      <c r="AI2" s="26" t="s">
        <v>8</v>
      </c>
      <c r="AJ2" s="18" t="s">
        <v>5</v>
      </c>
      <c r="AK2" s="19" t="n">
        <v>0</v>
      </c>
      <c r="AL2" s="19" t="n">
        <v>1</v>
      </c>
      <c r="AM2" s="20" t="n">
        <v>2</v>
      </c>
      <c r="AN2" s="21"/>
      <c r="AO2" s="22"/>
      <c r="AP2" s="23" t="s">
        <v>6</v>
      </c>
      <c r="AR2" s="25" t="s">
        <v>7</v>
      </c>
      <c r="AS2" s="26" t="s">
        <v>8</v>
      </c>
      <c r="AT2" s="18" t="s">
        <v>5</v>
      </c>
      <c r="AU2" s="19" t="n">
        <v>0</v>
      </c>
      <c r="AV2" s="19" t="n">
        <v>1</v>
      </c>
      <c r="AW2" s="20" t="n">
        <v>2</v>
      </c>
      <c r="AX2" s="21"/>
      <c r="AY2" s="22"/>
      <c r="AZ2" s="23" t="s">
        <v>6</v>
      </c>
      <c r="BB2" s="25" t="s">
        <v>7</v>
      </c>
      <c r="BC2" s="26" t="s">
        <v>8</v>
      </c>
      <c r="BD2" s="18" t="s">
        <v>5</v>
      </c>
      <c r="BE2" s="19" t="n">
        <v>0</v>
      </c>
      <c r="BF2" s="19" t="n">
        <v>1</v>
      </c>
      <c r="BG2" s="20" t="n">
        <v>2</v>
      </c>
      <c r="BH2" s="21"/>
      <c r="BI2" s="22"/>
      <c r="BJ2" s="23" t="s">
        <v>6</v>
      </c>
      <c r="BL2" s="25" t="s">
        <v>7</v>
      </c>
      <c r="BM2" s="26" t="s">
        <v>8</v>
      </c>
      <c r="BN2" s="18" t="s">
        <v>5</v>
      </c>
      <c r="BO2" s="19" t="n">
        <v>0</v>
      </c>
      <c r="BP2" s="19" t="n">
        <v>1</v>
      </c>
      <c r="BQ2" s="20" t="n">
        <v>2</v>
      </c>
      <c r="BR2" s="21"/>
      <c r="BS2" s="22"/>
      <c r="BT2" s="23" t="s">
        <v>6</v>
      </c>
      <c r="BV2" s="25" t="s">
        <v>7</v>
      </c>
      <c r="BW2" s="26" t="s">
        <v>8</v>
      </c>
      <c r="BX2" s="18" t="s">
        <v>5</v>
      </c>
      <c r="BY2" s="19" t="n">
        <v>0</v>
      </c>
      <c r="BZ2" s="19" t="n">
        <v>1</v>
      </c>
      <c r="CA2" s="20" t="n">
        <v>2</v>
      </c>
      <c r="CB2" s="21"/>
      <c r="CC2" s="22"/>
      <c r="CD2" s="23" t="s">
        <v>6</v>
      </c>
      <c r="CF2" s="25" t="s">
        <v>7</v>
      </c>
      <c r="CG2" s="26" t="s">
        <v>8</v>
      </c>
      <c r="CH2" s="18" t="s">
        <v>5</v>
      </c>
      <c r="CI2" s="19" t="n">
        <v>0</v>
      </c>
      <c r="CJ2" s="19" t="n">
        <v>1</v>
      </c>
      <c r="CK2" s="20" t="n">
        <v>2</v>
      </c>
      <c r="CL2" s="21"/>
      <c r="CM2" s="22"/>
      <c r="CN2" s="23" t="s">
        <v>6</v>
      </c>
      <c r="CP2" s="25" t="s">
        <v>7</v>
      </c>
      <c r="CQ2" s="26" t="s">
        <v>8</v>
      </c>
      <c r="CR2" s="18" t="s">
        <v>5</v>
      </c>
      <c r="CS2" s="19" t="n">
        <v>0</v>
      </c>
      <c r="CT2" s="19" t="n">
        <v>1</v>
      </c>
      <c r="CU2" s="20" t="n">
        <v>2</v>
      </c>
      <c r="CV2" s="21"/>
      <c r="CW2" s="22"/>
      <c r="CX2" s="23" t="s">
        <v>6</v>
      </c>
      <c r="CZ2" s="25" t="s">
        <v>7</v>
      </c>
      <c r="DA2" s="26" t="s">
        <v>8</v>
      </c>
      <c r="DB2" s="18" t="s">
        <v>5</v>
      </c>
      <c r="DC2" s="19" t="n">
        <v>0</v>
      </c>
      <c r="DD2" s="19" t="n">
        <v>1</v>
      </c>
      <c r="DE2" s="20" t="n">
        <v>2</v>
      </c>
      <c r="DF2" s="21"/>
      <c r="DG2" s="22"/>
      <c r="DH2" s="23" t="s">
        <v>6</v>
      </c>
      <c r="DJ2" s="25" t="s">
        <v>7</v>
      </c>
      <c r="DK2" s="26" t="s">
        <v>8</v>
      </c>
      <c r="DL2" s="18" t="s">
        <v>5</v>
      </c>
      <c r="DM2" s="19" t="n">
        <v>0</v>
      </c>
      <c r="DN2" s="19" t="n">
        <v>1</v>
      </c>
      <c r="DO2" s="20" t="n">
        <v>2</v>
      </c>
      <c r="DP2" s="21"/>
      <c r="DQ2" s="22"/>
      <c r="DR2" s="23" t="s">
        <v>6</v>
      </c>
      <c r="DT2" s="25" t="s">
        <v>7</v>
      </c>
      <c r="DU2" s="26" t="s">
        <v>8</v>
      </c>
      <c r="DV2" s="18" t="s">
        <v>5</v>
      </c>
      <c r="DW2" s="19" t="n">
        <v>0</v>
      </c>
      <c r="DX2" s="19" t="n">
        <v>1</v>
      </c>
      <c r="DY2" s="20" t="n">
        <v>2</v>
      </c>
      <c r="DZ2" s="21"/>
      <c r="EA2" s="22"/>
      <c r="EB2" s="23" t="s">
        <v>6</v>
      </c>
      <c r="ED2" s="25" t="s">
        <v>7</v>
      </c>
      <c r="EE2" s="26" t="s">
        <v>8</v>
      </c>
      <c r="EF2" s="18" t="s">
        <v>5</v>
      </c>
      <c r="EG2" s="19" t="n">
        <v>0</v>
      </c>
      <c r="EH2" s="19" t="n">
        <v>1</v>
      </c>
      <c r="EI2" s="20" t="n">
        <v>2</v>
      </c>
      <c r="EJ2" s="21"/>
      <c r="EK2" s="22"/>
      <c r="EL2" s="23" t="s">
        <v>6</v>
      </c>
      <c r="EN2" s="25" t="s">
        <v>7</v>
      </c>
      <c r="EO2" s="26" t="s">
        <v>8</v>
      </c>
      <c r="EP2" s="18" t="s">
        <v>5</v>
      </c>
      <c r="EQ2" s="19" t="n">
        <v>0</v>
      </c>
      <c r="ER2" s="19" t="n">
        <v>1</v>
      </c>
      <c r="ES2" s="20" t="n">
        <v>2</v>
      </c>
      <c r="ET2" s="21"/>
      <c r="EU2" s="22"/>
      <c r="EV2" s="23" t="s">
        <v>6</v>
      </c>
      <c r="EX2" s="25" t="s">
        <v>7</v>
      </c>
      <c r="EY2" s="26" t="s">
        <v>8</v>
      </c>
      <c r="EZ2" s="18" t="s">
        <v>5</v>
      </c>
      <c r="FA2" s="19" t="n">
        <v>0</v>
      </c>
      <c r="FB2" s="19" t="n">
        <v>1</v>
      </c>
      <c r="FC2" s="20" t="n">
        <v>2</v>
      </c>
      <c r="FD2" s="21"/>
      <c r="FE2" s="22"/>
      <c r="FF2" s="23" t="s">
        <v>6</v>
      </c>
      <c r="FH2" s="25" t="s">
        <v>7</v>
      </c>
      <c r="FI2" s="26" t="s">
        <v>8</v>
      </c>
      <c r="FJ2" s="18" t="s">
        <v>5</v>
      </c>
      <c r="FK2" s="19" t="n">
        <v>0</v>
      </c>
      <c r="FL2" s="19" t="n">
        <v>1</v>
      </c>
      <c r="FM2" s="20" t="n">
        <v>2</v>
      </c>
      <c r="FN2" s="21"/>
      <c r="FO2" s="22"/>
      <c r="FP2" s="23" t="s">
        <v>6</v>
      </c>
      <c r="FR2" s="25" t="s">
        <v>7</v>
      </c>
      <c r="FS2" s="26" t="s">
        <v>8</v>
      </c>
      <c r="FT2" s="18" t="s">
        <v>5</v>
      </c>
      <c r="FU2" s="19" t="n">
        <v>0</v>
      </c>
      <c r="FV2" s="19" t="n">
        <v>1</v>
      </c>
      <c r="FW2" s="20" t="n">
        <v>2</v>
      </c>
      <c r="FX2" s="21"/>
      <c r="FY2" s="22"/>
      <c r="FZ2" s="23" t="s">
        <v>6</v>
      </c>
      <c r="GB2" s="25" t="s">
        <v>7</v>
      </c>
      <c r="GC2" s="26" t="s">
        <v>8</v>
      </c>
      <c r="GD2" s="18" t="s">
        <v>5</v>
      </c>
      <c r="GE2" s="19" t="n">
        <v>0</v>
      </c>
      <c r="GF2" s="19" t="n">
        <v>1</v>
      </c>
      <c r="GG2" s="20" t="n">
        <v>2</v>
      </c>
      <c r="GH2" s="21"/>
      <c r="GI2" s="22"/>
      <c r="GJ2" s="23" t="s">
        <v>6</v>
      </c>
      <c r="GL2" s="25" t="s">
        <v>7</v>
      </c>
      <c r="GM2" s="26" t="s">
        <v>8</v>
      </c>
      <c r="GN2" s="18" t="s">
        <v>5</v>
      </c>
      <c r="GO2" s="19" t="n">
        <v>0</v>
      </c>
      <c r="GP2" s="19" t="n">
        <v>1</v>
      </c>
      <c r="GQ2" s="20" t="n">
        <v>2</v>
      </c>
      <c r="GR2" s="21"/>
      <c r="GS2" s="22"/>
      <c r="GT2" s="23" t="s">
        <v>6</v>
      </c>
      <c r="GV2" s="25" t="s">
        <v>7</v>
      </c>
      <c r="GW2" s="26" t="s">
        <v>8</v>
      </c>
      <c r="GX2" s="18" t="s">
        <v>5</v>
      </c>
      <c r="GY2" s="19" t="n">
        <v>0</v>
      </c>
      <c r="GZ2" s="19" t="n">
        <v>1</v>
      </c>
      <c r="HA2" s="20" t="n">
        <v>2</v>
      </c>
      <c r="HB2" s="21"/>
      <c r="HC2" s="22"/>
      <c r="HD2" s="23" t="s">
        <v>6</v>
      </c>
      <c r="HF2" s="25" t="s">
        <v>7</v>
      </c>
      <c r="HG2" s="26" t="s">
        <v>8</v>
      </c>
      <c r="HH2" s="18" t="s">
        <v>5</v>
      </c>
      <c r="HI2" s="19" t="n">
        <v>0</v>
      </c>
      <c r="HJ2" s="19" t="n">
        <v>1</v>
      </c>
      <c r="HK2" s="20" t="n">
        <v>2</v>
      </c>
      <c r="HL2" s="21"/>
      <c r="HM2" s="22"/>
      <c r="HN2" s="23" t="s">
        <v>6</v>
      </c>
      <c r="HP2" s="25" t="s">
        <v>7</v>
      </c>
      <c r="HQ2" s="26" t="s">
        <v>8</v>
      </c>
      <c r="HR2" s="18" t="s">
        <v>5</v>
      </c>
      <c r="HS2" s="19" t="n">
        <v>0</v>
      </c>
      <c r="HT2" s="19" t="n">
        <v>1</v>
      </c>
      <c r="HU2" s="20" t="n">
        <v>2</v>
      </c>
      <c r="HV2" s="21"/>
      <c r="HW2" s="22"/>
      <c r="HX2" s="23" t="s">
        <v>6</v>
      </c>
      <c r="HZ2" s="25" t="s">
        <v>7</v>
      </c>
      <c r="IA2" s="26" t="s">
        <v>8</v>
      </c>
      <c r="IB2" s="18" t="s">
        <v>5</v>
      </c>
      <c r="IC2" s="19" t="n">
        <v>0</v>
      </c>
      <c r="ID2" s="19" t="n">
        <v>1</v>
      </c>
      <c r="IE2" s="20" t="n">
        <v>2</v>
      </c>
      <c r="IF2" s="21"/>
      <c r="IG2" s="22"/>
      <c r="IH2" s="23" t="s">
        <v>6</v>
      </c>
      <c r="IJ2" s="25" t="s">
        <v>7</v>
      </c>
      <c r="IK2" s="26" t="s">
        <v>8</v>
      </c>
    </row>
    <row r="3" customFormat="false" ht="31.5" hidden="false" customHeight="true" outlineLevel="0" collapsed="false">
      <c r="A3" s="27"/>
      <c r="B3" s="28"/>
      <c r="C3" s="29" t="s">
        <v>9</v>
      </c>
      <c r="D3" s="30" t="s">
        <v>10</v>
      </c>
      <c r="E3" s="31" t="s">
        <v>11</v>
      </c>
      <c r="F3" s="32"/>
      <c r="G3" s="32"/>
      <c r="H3" s="32"/>
      <c r="I3" s="32"/>
      <c r="J3" s="33"/>
      <c r="K3" s="34" t="n">
        <v>0.2</v>
      </c>
      <c r="L3" s="35" t="n">
        <f aca="false">SUM(L4:L10)</f>
        <v>0</v>
      </c>
      <c r="M3" s="36"/>
      <c r="N3" s="37" t="n">
        <f aca="false">SUM(N4:N10)*K3</f>
        <v>0.2</v>
      </c>
      <c r="O3" s="38" t="n">
        <f aca="false">IF(SUM(N4:N10)=0,K3,0)</f>
        <v>0</v>
      </c>
      <c r="P3" s="32"/>
      <c r="Q3" s="32"/>
      <c r="R3" s="32"/>
      <c r="S3" s="32"/>
      <c r="T3" s="33"/>
      <c r="U3" s="34" t="n">
        <v>0.2</v>
      </c>
      <c r="V3" s="35" t="n">
        <f aca="false">SUM(V4:V10)</f>
        <v>0</v>
      </c>
      <c r="W3" s="36"/>
      <c r="X3" s="37" t="n">
        <f aca="false">SUM(X4:X10)*U3</f>
        <v>0.2</v>
      </c>
      <c r="Y3" s="38" t="n">
        <f aca="false">IF(SUM(X4:X10)=0,U3,0)</f>
        <v>0</v>
      </c>
      <c r="Z3" s="32"/>
      <c r="AA3" s="32"/>
      <c r="AB3" s="32"/>
      <c r="AC3" s="32"/>
      <c r="AD3" s="33"/>
      <c r="AE3" s="34" t="n">
        <v>0.2</v>
      </c>
      <c r="AF3" s="35" t="n">
        <f aca="false">SUM(AF4:AF10)</f>
        <v>0</v>
      </c>
      <c r="AG3" s="36"/>
      <c r="AH3" s="37" t="n">
        <f aca="false">SUM(AH4:AH10)*AE3</f>
        <v>0.2</v>
      </c>
      <c r="AI3" s="38" t="n">
        <f aca="false">IF(SUM(AH4:AH10)=0,AE3,0)</f>
        <v>0</v>
      </c>
      <c r="AJ3" s="32"/>
      <c r="AK3" s="32"/>
      <c r="AL3" s="32"/>
      <c r="AM3" s="32"/>
      <c r="AN3" s="33"/>
      <c r="AO3" s="34" t="n">
        <v>0.2</v>
      </c>
      <c r="AP3" s="35" t="n">
        <f aca="false">SUM(AP4:AP10)</f>
        <v>0</v>
      </c>
      <c r="AQ3" s="36"/>
      <c r="AR3" s="37" t="n">
        <f aca="false">SUM(AR4:AR10)*AO3</f>
        <v>0.2</v>
      </c>
      <c r="AS3" s="38" t="n">
        <f aca="false">IF(SUM(AR4:AR10)=0,AO3,0)</f>
        <v>0</v>
      </c>
      <c r="AT3" s="32"/>
      <c r="AU3" s="32"/>
      <c r="AV3" s="32"/>
      <c r="AW3" s="32"/>
      <c r="AX3" s="33"/>
      <c r="AY3" s="34" t="n">
        <v>0.2</v>
      </c>
      <c r="AZ3" s="35" t="n">
        <f aca="false">SUM(AZ4:AZ10)</f>
        <v>0</v>
      </c>
      <c r="BA3" s="36"/>
      <c r="BB3" s="37" t="n">
        <f aca="false">SUM(BB4:BB10)*AY3</f>
        <v>0.2</v>
      </c>
      <c r="BC3" s="38" t="n">
        <f aca="false">IF(SUM(BB4:BB10)=0,AY3,0)</f>
        <v>0</v>
      </c>
      <c r="BD3" s="32"/>
      <c r="BE3" s="32"/>
      <c r="BF3" s="32"/>
      <c r="BG3" s="32"/>
      <c r="BH3" s="33"/>
      <c r="BI3" s="34" t="n">
        <v>0.2</v>
      </c>
      <c r="BJ3" s="35" t="n">
        <f aca="false">SUM(BJ4:BJ10)</f>
        <v>0</v>
      </c>
      <c r="BK3" s="36"/>
      <c r="BL3" s="37" t="n">
        <f aca="false">SUM(BL4:BL10)*BI3</f>
        <v>0.2</v>
      </c>
      <c r="BM3" s="38" t="n">
        <f aca="false">IF(SUM(BL4:BL10)=0,BI3,0)</f>
        <v>0</v>
      </c>
      <c r="BN3" s="32"/>
      <c r="BO3" s="32"/>
      <c r="BP3" s="32"/>
      <c r="BQ3" s="32"/>
      <c r="BR3" s="33"/>
      <c r="BS3" s="34" t="n">
        <v>0.2</v>
      </c>
      <c r="BT3" s="35" t="n">
        <f aca="false">SUM(BT4:BT10)</f>
        <v>0</v>
      </c>
      <c r="BU3" s="36"/>
      <c r="BV3" s="37" t="n">
        <f aca="false">SUM(BV4:BV10)*BS3</f>
        <v>0.2</v>
      </c>
      <c r="BW3" s="38" t="n">
        <f aca="false">IF(SUM(BV4:BV10)=0,BS3,0)</f>
        <v>0</v>
      </c>
      <c r="BX3" s="32"/>
      <c r="BY3" s="32"/>
      <c r="BZ3" s="32"/>
      <c r="CA3" s="32"/>
      <c r="CB3" s="33"/>
      <c r="CC3" s="34" t="n">
        <v>0.2</v>
      </c>
      <c r="CD3" s="35" t="n">
        <f aca="false">SUM(CD4:CD10)</f>
        <v>0</v>
      </c>
      <c r="CE3" s="36"/>
      <c r="CF3" s="37" t="n">
        <f aca="false">SUM(CF4:CF10)*CC3</f>
        <v>0.2</v>
      </c>
      <c r="CG3" s="38" t="n">
        <f aca="false">IF(SUM(CF4:CF10)=0,CC3,0)</f>
        <v>0</v>
      </c>
      <c r="CH3" s="32"/>
      <c r="CI3" s="32"/>
      <c r="CJ3" s="32"/>
      <c r="CK3" s="32"/>
      <c r="CL3" s="33"/>
      <c r="CM3" s="34" t="n">
        <v>0.2</v>
      </c>
      <c r="CN3" s="35" t="n">
        <f aca="false">SUM(CN4:CN10)</f>
        <v>0</v>
      </c>
      <c r="CO3" s="36"/>
      <c r="CP3" s="37" t="n">
        <f aca="false">SUM(CP4:CP10)*CM3</f>
        <v>0.2</v>
      </c>
      <c r="CQ3" s="38" t="n">
        <f aca="false">IF(SUM(CP4:CP10)=0,CM3,0)</f>
        <v>0</v>
      </c>
      <c r="CR3" s="32"/>
      <c r="CS3" s="32"/>
      <c r="CT3" s="32"/>
      <c r="CU3" s="32"/>
      <c r="CV3" s="33"/>
      <c r="CW3" s="34" t="n">
        <v>0.2</v>
      </c>
      <c r="CX3" s="35" t="n">
        <f aca="false">SUM(CX4:CX10)</f>
        <v>0</v>
      </c>
      <c r="CY3" s="36"/>
      <c r="CZ3" s="37" t="n">
        <f aca="false">SUM(CZ4:CZ10)*CW3</f>
        <v>0.2</v>
      </c>
      <c r="DA3" s="38" t="n">
        <f aca="false">IF(SUM(CZ4:CZ10)=0,CW3,0)</f>
        <v>0</v>
      </c>
      <c r="DB3" s="32"/>
      <c r="DC3" s="32"/>
      <c r="DD3" s="32"/>
      <c r="DE3" s="32"/>
      <c r="DF3" s="33"/>
      <c r="DG3" s="34" t="n">
        <v>0.2</v>
      </c>
      <c r="DH3" s="35" t="n">
        <f aca="false">SUM(DH4:DH10)</f>
        <v>0</v>
      </c>
      <c r="DI3" s="36"/>
      <c r="DJ3" s="37" t="n">
        <f aca="false">SUM(DJ4:DJ10)*DG3</f>
        <v>0.2</v>
      </c>
      <c r="DK3" s="38" t="n">
        <f aca="false">IF(SUM(DJ4:DJ10)=0,DG3,0)</f>
        <v>0</v>
      </c>
      <c r="DL3" s="32"/>
      <c r="DM3" s="32"/>
      <c r="DN3" s="32"/>
      <c r="DO3" s="32"/>
      <c r="DP3" s="33"/>
      <c r="DQ3" s="34" t="n">
        <v>0.2</v>
      </c>
      <c r="DR3" s="35" t="n">
        <f aca="false">SUM(DR4:DR10)</f>
        <v>0</v>
      </c>
      <c r="DS3" s="36"/>
      <c r="DT3" s="37" t="n">
        <f aca="false">SUM(DT4:DT10)*DQ3</f>
        <v>0.2</v>
      </c>
      <c r="DU3" s="38" t="n">
        <f aca="false">IF(SUM(DT4:DT10)=0,DQ3,0)</f>
        <v>0</v>
      </c>
      <c r="DV3" s="32"/>
      <c r="DW3" s="32"/>
      <c r="DX3" s="32"/>
      <c r="DY3" s="32"/>
      <c r="DZ3" s="33"/>
      <c r="EA3" s="34" t="n">
        <v>0.2</v>
      </c>
      <c r="EB3" s="35" t="n">
        <f aca="false">SUM(EB4:EB10)</f>
        <v>0</v>
      </c>
      <c r="EC3" s="36"/>
      <c r="ED3" s="37" t="n">
        <f aca="false">SUM(ED4:ED10)*EA3</f>
        <v>0.2</v>
      </c>
      <c r="EE3" s="38" t="n">
        <f aca="false">IF(SUM(ED4:ED10)=0,EA3,0)</f>
        <v>0</v>
      </c>
      <c r="EF3" s="32"/>
      <c r="EG3" s="32"/>
      <c r="EH3" s="32"/>
      <c r="EI3" s="32"/>
      <c r="EJ3" s="33"/>
      <c r="EK3" s="34" t="n">
        <v>0.2</v>
      </c>
      <c r="EL3" s="35" t="n">
        <f aca="false">SUM(EL4:EL10)</f>
        <v>0</v>
      </c>
      <c r="EM3" s="36"/>
      <c r="EN3" s="37" t="n">
        <f aca="false">SUM(EN4:EN10)*EK3</f>
        <v>0.2</v>
      </c>
      <c r="EO3" s="38" t="n">
        <f aca="false">IF(SUM(EN4:EN10)=0,EK3,0)</f>
        <v>0</v>
      </c>
      <c r="EP3" s="32"/>
      <c r="EQ3" s="32"/>
      <c r="ER3" s="32"/>
      <c r="ES3" s="32"/>
      <c r="ET3" s="33"/>
      <c r="EU3" s="34" t="n">
        <v>0.2</v>
      </c>
      <c r="EV3" s="35" t="n">
        <f aca="false">SUM(EV4:EV10)</f>
        <v>0</v>
      </c>
      <c r="EW3" s="36"/>
      <c r="EX3" s="37" t="n">
        <f aca="false">SUM(EX4:EX10)*EU3</f>
        <v>0.2</v>
      </c>
      <c r="EY3" s="38" t="n">
        <f aca="false">IF(SUM(EX4:EX10)=0,EU3,0)</f>
        <v>0</v>
      </c>
      <c r="EZ3" s="32"/>
      <c r="FA3" s="32"/>
      <c r="FB3" s="32"/>
      <c r="FC3" s="32"/>
      <c r="FD3" s="33"/>
      <c r="FE3" s="34" t="n">
        <v>0.2</v>
      </c>
      <c r="FF3" s="35" t="n">
        <f aca="false">SUM(FF4:FF10)</f>
        <v>0</v>
      </c>
      <c r="FG3" s="36"/>
      <c r="FH3" s="37" t="n">
        <f aca="false">SUM(FH4:FH10)*FE3</f>
        <v>0.2</v>
      </c>
      <c r="FI3" s="38" t="n">
        <f aca="false">IF(SUM(FH4:FH10)=0,FE3,0)</f>
        <v>0</v>
      </c>
      <c r="FJ3" s="32"/>
      <c r="FK3" s="32"/>
      <c r="FL3" s="32"/>
      <c r="FM3" s="32"/>
      <c r="FN3" s="33"/>
      <c r="FO3" s="34" t="n">
        <v>0.2</v>
      </c>
      <c r="FP3" s="35" t="n">
        <f aca="false">SUM(FP4:FP10)</f>
        <v>0</v>
      </c>
      <c r="FQ3" s="36"/>
      <c r="FR3" s="37" t="n">
        <f aca="false">SUM(FR4:FR10)*FO3</f>
        <v>0.2</v>
      </c>
      <c r="FS3" s="38" t="n">
        <f aca="false">IF(SUM(FR4:FR10)=0,FO3,0)</f>
        <v>0</v>
      </c>
      <c r="FT3" s="32"/>
      <c r="FU3" s="32"/>
      <c r="FV3" s="32"/>
      <c r="FW3" s="32"/>
      <c r="FX3" s="33"/>
      <c r="FY3" s="34" t="n">
        <v>0.2</v>
      </c>
      <c r="FZ3" s="35" t="n">
        <f aca="false">SUM(FZ4:FZ10)</f>
        <v>0</v>
      </c>
      <c r="GA3" s="36"/>
      <c r="GB3" s="37" t="n">
        <f aca="false">SUM(GB4:GB10)*FY3</f>
        <v>0.2</v>
      </c>
      <c r="GC3" s="38" t="n">
        <f aca="false">IF(SUM(GB4:GB10)=0,FY3,0)</f>
        <v>0</v>
      </c>
      <c r="GD3" s="32"/>
      <c r="GE3" s="32"/>
      <c r="GF3" s="32"/>
      <c r="GG3" s="32"/>
      <c r="GH3" s="33"/>
      <c r="GI3" s="34" t="n">
        <v>0.2</v>
      </c>
      <c r="GJ3" s="35" t="n">
        <f aca="false">SUM(GJ4:GJ10)</f>
        <v>0</v>
      </c>
      <c r="GK3" s="36"/>
      <c r="GL3" s="37" t="n">
        <f aca="false">SUM(GL4:GL10)*GI3</f>
        <v>0.2</v>
      </c>
      <c r="GM3" s="38" t="n">
        <f aca="false">IF(SUM(GL4:GL10)=0,GI3,0)</f>
        <v>0</v>
      </c>
      <c r="GN3" s="32"/>
      <c r="GO3" s="32"/>
      <c r="GP3" s="32"/>
      <c r="GQ3" s="32"/>
      <c r="GR3" s="33"/>
      <c r="GS3" s="34" t="n">
        <v>0.2</v>
      </c>
      <c r="GT3" s="35" t="n">
        <f aca="false">SUM(GT4:GT10)</f>
        <v>0</v>
      </c>
      <c r="GU3" s="36"/>
      <c r="GV3" s="37" t="n">
        <f aca="false">SUM(GV4:GV10)*GS3</f>
        <v>0.2</v>
      </c>
      <c r="GW3" s="38" t="n">
        <f aca="false">IF(SUM(GV4:GV10)=0,GS3,0)</f>
        <v>0</v>
      </c>
      <c r="GX3" s="32"/>
      <c r="GY3" s="32"/>
      <c r="GZ3" s="32"/>
      <c r="HA3" s="32"/>
      <c r="HB3" s="33"/>
      <c r="HC3" s="34" t="n">
        <v>0.2</v>
      </c>
      <c r="HD3" s="35" t="n">
        <f aca="false">SUM(HD4:HD10)</f>
        <v>0</v>
      </c>
      <c r="HE3" s="36"/>
      <c r="HF3" s="37" t="n">
        <f aca="false">SUM(HF4:HF10)*HC3</f>
        <v>0.2</v>
      </c>
      <c r="HG3" s="38" t="n">
        <f aca="false">IF(SUM(HF4:HF10)=0,HC3,0)</f>
        <v>0</v>
      </c>
      <c r="HH3" s="32"/>
      <c r="HI3" s="32"/>
      <c r="HJ3" s="32"/>
      <c r="HK3" s="32"/>
      <c r="HL3" s="33"/>
      <c r="HM3" s="34" t="n">
        <v>0.2</v>
      </c>
      <c r="HN3" s="35" t="n">
        <f aca="false">SUM(HN4:HN10)</f>
        <v>0</v>
      </c>
      <c r="HO3" s="36"/>
      <c r="HP3" s="37" t="n">
        <f aca="false">SUM(HP4:HP10)*HM3</f>
        <v>0.2</v>
      </c>
      <c r="HQ3" s="38" t="n">
        <f aca="false">IF(SUM(HP4:HP10)=0,HM3,0)</f>
        <v>0</v>
      </c>
      <c r="HR3" s="32"/>
      <c r="HS3" s="32"/>
      <c r="HT3" s="32"/>
      <c r="HU3" s="32"/>
      <c r="HV3" s="33"/>
      <c r="HW3" s="34" t="n">
        <v>0.2</v>
      </c>
      <c r="HX3" s="35" t="n">
        <f aca="false">SUM(HX4:HX10)</f>
        <v>0</v>
      </c>
      <c r="HY3" s="36"/>
      <c r="HZ3" s="37" t="n">
        <f aca="false">SUM(HZ4:HZ10)*HW3</f>
        <v>0.2</v>
      </c>
      <c r="IA3" s="38" t="n">
        <f aca="false">IF(SUM(HZ4:HZ10)=0,HW3,0)</f>
        <v>0</v>
      </c>
      <c r="IB3" s="32"/>
      <c r="IC3" s="32"/>
      <c r="ID3" s="32"/>
      <c r="IE3" s="32"/>
      <c r="IF3" s="33"/>
      <c r="IG3" s="34" t="n">
        <v>0.2</v>
      </c>
      <c r="IH3" s="35" t="n">
        <f aca="false">SUM(IH4:IH10)</f>
        <v>0</v>
      </c>
      <c r="II3" s="36"/>
      <c r="IJ3" s="37" t="n">
        <f aca="false">SUM(IJ4:IJ10)*IG3</f>
        <v>0.2</v>
      </c>
      <c r="IK3" s="38" t="n">
        <f aca="false">IF(SUM(IJ4:IJ10)=0,IG3,0)</f>
        <v>0</v>
      </c>
    </row>
    <row r="4" s="51" customFormat="true" ht="49.5" hidden="false" customHeight="true" outlineLevel="0" collapsed="false">
      <c r="A4" s="39" t="n">
        <v>1</v>
      </c>
      <c r="B4" s="40" t="s">
        <v>12</v>
      </c>
      <c r="C4" s="41" t="n">
        <f aca="false">$H$43</f>
        <v>0</v>
      </c>
      <c r="D4" s="42" t="s">
        <v>13</v>
      </c>
      <c r="E4" s="43" t="s">
        <v>14</v>
      </c>
      <c r="F4" s="44"/>
      <c r="G4" s="44"/>
      <c r="H4" s="44"/>
      <c r="I4" s="44"/>
      <c r="J4" s="45" t="str">
        <f aca="false">(IF(M4="","◄",""))</f>
        <v>◄</v>
      </c>
      <c r="K4" s="46" t="n">
        <v>0.15</v>
      </c>
      <c r="L4" s="47" t="n">
        <f aca="false">(IF(H4&lt;&gt;"",1/2,0)+IF(I4&lt;&gt;"",1,0))*K4*K$3*20</f>
        <v>0</v>
      </c>
      <c r="M4" s="48" t="str">
        <f aca="false">IF(COUNTBLANK(F4:I4)=3,1,"")</f>
        <v/>
      </c>
      <c r="N4" s="49" t="n">
        <f aca="false">IF(F4="",K4,0)</f>
        <v>0.15</v>
      </c>
      <c r="O4" s="50" t="n">
        <f aca="false">IF(N4=0,0,K4/SUM(N$4:N$10))</f>
        <v>0.15</v>
      </c>
      <c r="P4" s="44"/>
      <c r="Q4" s="44"/>
      <c r="R4" s="44"/>
      <c r="S4" s="44"/>
      <c r="T4" s="45" t="str">
        <f aca="false">(IF(W4="","◄",""))</f>
        <v>◄</v>
      </c>
      <c r="U4" s="46" t="n">
        <v>0.15</v>
      </c>
      <c r="V4" s="47" t="n">
        <f aca="false">(IF(R4&lt;&gt;"",1/2,0)+IF(S4&lt;&gt;"",1,0))*U4*U$3*20</f>
        <v>0</v>
      </c>
      <c r="W4" s="48" t="str">
        <f aca="false">IF(COUNTBLANK(P4:S4)=3,1,"")</f>
        <v/>
      </c>
      <c r="X4" s="49" t="n">
        <f aca="false">IF(P4="",U4,0)</f>
        <v>0.15</v>
      </c>
      <c r="Y4" s="50" t="n">
        <f aca="false">IF(X4=0,0,U4/SUM(X$4:X$10))</f>
        <v>0.15</v>
      </c>
      <c r="Z4" s="44"/>
      <c r="AA4" s="44"/>
      <c r="AB4" s="44"/>
      <c r="AC4" s="44"/>
      <c r="AD4" s="45" t="str">
        <f aca="false">(IF(AG4="","◄",""))</f>
        <v>◄</v>
      </c>
      <c r="AE4" s="46" t="n">
        <v>0.15</v>
      </c>
      <c r="AF4" s="47" t="n">
        <f aca="false">(IF(AB4&lt;&gt;"",1/2,0)+IF(AC4&lt;&gt;"",1,0))*AE4*AE$3*20</f>
        <v>0</v>
      </c>
      <c r="AG4" s="48" t="str">
        <f aca="false">IF(COUNTBLANK(Z4:AC4)=3,1,"")</f>
        <v/>
      </c>
      <c r="AH4" s="49" t="n">
        <f aca="false">IF(Z4="",AE4,0)</f>
        <v>0.15</v>
      </c>
      <c r="AI4" s="50" t="n">
        <f aca="false">IF(AH4=0,0,AE4/SUM(AH$4:AH$10))</f>
        <v>0.15</v>
      </c>
      <c r="AJ4" s="44"/>
      <c r="AK4" s="44"/>
      <c r="AL4" s="44"/>
      <c r="AM4" s="44"/>
      <c r="AN4" s="45" t="str">
        <f aca="false">(IF(AQ4="","◄",""))</f>
        <v>◄</v>
      </c>
      <c r="AO4" s="46" t="n">
        <v>0.15</v>
      </c>
      <c r="AP4" s="47" t="n">
        <f aca="false">(IF(AL4&lt;&gt;"",1/2,0)+IF(AM4&lt;&gt;"",1,0))*AO4*AO$3*20</f>
        <v>0</v>
      </c>
      <c r="AQ4" s="48" t="str">
        <f aca="false">IF(COUNTBLANK(AJ4:AM4)=3,1,"")</f>
        <v/>
      </c>
      <c r="AR4" s="49" t="n">
        <f aca="false">IF(AJ4="",AO4,0)</f>
        <v>0.15</v>
      </c>
      <c r="AS4" s="50" t="n">
        <f aca="false">IF(AR4=0,0,AO4/SUM(AR$4:AR$10))</f>
        <v>0.15</v>
      </c>
      <c r="AT4" s="44"/>
      <c r="AU4" s="44"/>
      <c r="AV4" s="44"/>
      <c r="AW4" s="44"/>
      <c r="AX4" s="45" t="str">
        <f aca="false">(IF(BA4="","◄",""))</f>
        <v>◄</v>
      </c>
      <c r="AY4" s="46" t="n">
        <v>0.15</v>
      </c>
      <c r="AZ4" s="47" t="n">
        <f aca="false">(IF(AV4&lt;&gt;"",1/2,0)+IF(AW4&lt;&gt;"",1,0))*AY4*AY$3*20</f>
        <v>0</v>
      </c>
      <c r="BA4" s="48" t="str">
        <f aca="false">IF(COUNTBLANK(AT4:AW4)=3,1,"")</f>
        <v/>
      </c>
      <c r="BB4" s="49" t="n">
        <f aca="false">IF(AT4="",AY4,0)</f>
        <v>0.15</v>
      </c>
      <c r="BC4" s="50" t="n">
        <f aca="false">IF(BB4=0,0,AY4/SUM(BB$4:BB$10))</f>
        <v>0.15</v>
      </c>
      <c r="BD4" s="44"/>
      <c r="BE4" s="44"/>
      <c r="BF4" s="44"/>
      <c r="BG4" s="44"/>
      <c r="BH4" s="45" t="str">
        <f aca="false">(IF(BK4="","◄",""))</f>
        <v>◄</v>
      </c>
      <c r="BI4" s="46" t="n">
        <v>0.15</v>
      </c>
      <c r="BJ4" s="47" t="n">
        <f aca="false">(IF(BF4&lt;&gt;"",1/2,0)+IF(BG4&lt;&gt;"",1,0))*BI4*BI$3*20</f>
        <v>0</v>
      </c>
      <c r="BK4" s="48" t="str">
        <f aca="false">IF(COUNTBLANK(BD4:BG4)=3,1,"")</f>
        <v/>
      </c>
      <c r="BL4" s="49" t="n">
        <f aca="false">IF(BD4="",BI4,0)</f>
        <v>0.15</v>
      </c>
      <c r="BM4" s="50" t="n">
        <f aca="false">IF(BL4=0,0,BI4/SUM(BL$4:BL$10))</f>
        <v>0.15</v>
      </c>
      <c r="BN4" s="44"/>
      <c r="BO4" s="44"/>
      <c r="BP4" s="44"/>
      <c r="BQ4" s="44"/>
      <c r="BR4" s="45" t="str">
        <f aca="false">(IF(BU4="","◄",""))</f>
        <v>◄</v>
      </c>
      <c r="BS4" s="46" t="n">
        <v>0.15</v>
      </c>
      <c r="BT4" s="47" t="n">
        <f aca="false">(IF(BP4&lt;&gt;"",1/2,0)+IF(BQ4&lt;&gt;"",1,0))*BS4*BS$3*20</f>
        <v>0</v>
      </c>
      <c r="BU4" s="48" t="str">
        <f aca="false">IF(COUNTBLANK(BN4:BQ4)=3,1,"")</f>
        <v/>
      </c>
      <c r="BV4" s="49" t="n">
        <f aca="false">IF(BN4="",BS4,0)</f>
        <v>0.15</v>
      </c>
      <c r="BW4" s="50" t="n">
        <f aca="false">IF(BV4=0,0,BS4/SUM(BV$4:BV$10))</f>
        <v>0.15</v>
      </c>
      <c r="BX4" s="44"/>
      <c r="BY4" s="44"/>
      <c r="BZ4" s="44"/>
      <c r="CA4" s="44"/>
      <c r="CB4" s="45" t="str">
        <f aca="false">(IF(CE4="","◄",""))</f>
        <v>◄</v>
      </c>
      <c r="CC4" s="46" t="n">
        <v>0.15</v>
      </c>
      <c r="CD4" s="47" t="n">
        <f aca="false">(IF(BZ4&lt;&gt;"",1/2,0)+IF(CA4&lt;&gt;"",1,0))*CC4*CC$3*20</f>
        <v>0</v>
      </c>
      <c r="CE4" s="48" t="str">
        <f aca="false">IF(COUNTBLANK(BX4:CA4)=3,1,"")</f>
        <v/>
      </c>
      <c r="CF4" s="49" t="n">
        <f aca="false">IF(BX4="",CC4,0)</f>
        <v>0.15</v>
      </c>
      <c r="CG4" s="50" t="n">
        <f aca="false">IF(CF4=0,0,CC4/SUM(CF$4:CF$10))</f>
        <v>0.15</v>
      </c>
      <c r="CH4" s="44"/>
      <c r="CI4" s="44"/>
      <c r="CJ4" s="44"/>
      <c r="CK4" s="44"/>
      <c r="CL4" s="45" t="str">
        <f aca="false">(IF(CO4="","◄",""))</f>
        <v>◄</v>
      </c>
      <c r="CM4" s="46" t="n">
        <v>0.15</v>
      </c>
      <c r="CN4" s="47" t="n">
        <f aca="false">(IF(CJ4&lt;&gt;"",1/2,0)+IF(CK4&lt;&gt;"",1,0))*CM4*CM$3*20</f>
        <v>0</v>
      </c>
      <c r="CO4" s="48" t="str">
        <f aca="false">IF(COUNTBLANK(CH4:CK4)=3,1,"")</f>
        <v/>
      </c>
      <c r="CP4" s="49" t="n">
        <f aca="false">IF(CH4="",CM4,0)</f>
        <v>0.15</v>
      </c>
      <c r="CQ4" s="50" t="n">
        <f aca="false">IF(CP4=0,0,CM4/SUM(CP$4:CP$10))</f>
        <v>0.15</v>
      </c>
      <c r="CR4" s="44"/>
      <c r="CS4" s="44"/>
      <c r="CT4" s="44"/>
      <c r="CU4" s="44"/>
      <c r="CV4" s="45" t="str">
        <f aca="false">(IF(CY4="","◄",""))</f>
        <v>◄</v>
      </c>
      <c r="CW4" s="46" t="n">
        <v>0.15</v>
      </c>
      <c r="CX4" s="47" t="n">
        <f aca="false">(IF(CT4&lt;&gt;"",1/2,0)+IF(CU4&lt;&gt;"",1,0))*CW4*CW$3*20</f>
        <v>0</v>
      </c>
      <c r="CY4" s="48" t="str">
        <f aca="false">IF(COUNTBLANK(CR4:CU4)=3,1,"")</f>
        <v/>
      </c>
      <c r="CZ4" s="49" t="n">
        <f aca="false">IF(CR4="",CW4,0)</f>
        <v>0.15</v>
      </c>
      <c r="DA4" s="50" t="n">
        <f aca="false">IF(CZ4=0,0,CW4/SUM(CZ$4:CZ$10))</f>
        <v>0.15</v>
      </c>
      <c r="DB4" s="44"/>
      <c r="DC4" s="44"/>
      <c r="DD4" s="44"/>
      <c r="DE4" s="44"/>
      <c r="DF4" s="45" t="str">
        <f aca="false">(IF(DI4="","◄",""))</f>
        <v>◄</v>
      </c>
      <c r="DG4" s="46" t="n">
        <v>0.15</v>
      </c>
      <c r="DH4" s="47" t="n">
        <f aca="false">(IF(DD4&lt;&gt;"",1/2,0)+IF(DE4&lt;&gt;"",1,0))*DG4*DG$3*20</f>
        <v>0</v>
      </c>
      <c r="DI4" s="48" t="str">
        <f aca="false">IF(COUNTBLANK(DB4:DE4)=3,1,"")</f>
        <v/>
      </c>
      <c r="DJ4" s="49" t="n">
        <f aca="false">IF(DB4="",DG4,0)</f>
        <v>0.15</v>
      </c>
      <c r="DK4" s="50" t="n">
        <f aca="false">IF(DJ4=0,0,DG4/SUM(DJ$4:DJ$10))</f>
        <v>0.15</v>
      </c>
      <c r="DL4" s="44"/>
      <c r="DM4" s="44"/>
      <c r="DN4" s="44"/>
      <c r="DO4" s="44"/>
      <c r="DP4" s="45" t="str">
        <f aca="false">(IF(DS4="","◄",""))</f>
        <v>◄</v>
      </c>
      <c r="DQ4" s="46" t="n">
        <v>0.15</v>
      </c>
      <c r="DR4" s="47" t="n">
        <f aca="false">(IF(DN4&lt;&gt;"",1/2,0)+IF(DO4&lt;&gt;"",1,0))*DQ4*DQ$3*20</f>
        <v>0</v>
      </c>
      <c r="DS4" s="48" t="str">
        <f aca="false">IF(COUNTBLANK(DL4:DO4)=3,1,"")</f>
        <v/>
      </c>
      <c r="DT4" s="49" t="n">
        <f aca="false">IF(DL4="",DQ4,0)</f>
        <v>0.15</v>
      </c>
      <c r="DU4" s="50" t="n">
        <f aca="false">IF(DT4=0,0,DQ4/SUM(DT$4:DT$10))</f>
        <v>0.15</v>
      </c>
      <c r="DV4" s="44"/>
      <c r="DW4" s="44"/>
      <c r="DX4" s="44"/>
      <c r="DY4" s="44"/>
      <c r="DZ4" s="45" t="str">
        <f aca="false">(IF(EC4="","◄",""))</f>
        <v>◄</v>
      </c>
      <c r="EA4" s="46" t="n">
        <v>0.15</v>
      </c>
      <c r="EB4" s="47" t="n">
        <f aca="false">(IF(DX4&lt;&gt;"",1/2,0)+IF(DY4&lt;&gt;"",1,0))*EA4*EA$3*20</f>
        <v>0</v>
      </c>
      <c r="EC4" s="48" t="str">
        <f aca="false">IF(COUNTBLANK(DV4:DY4)=3,1,"")</f>
        <v/>
      </c>
      <c r="ED4" s="49" t="n">
        <f aca="false">IF(DV4="",EA4,0)</f>
        <v>0.15</v>
      </c>
      <c r="EE4" s="50" t="n">
        <f aca="false">IF(ED4=0,0,EA4/SUM(ED$4:ED$10))</f>
        <v>0.15</v>
      </c>
      <c r="EF4" s="44"/>
      <c r="EG4" s="44"/>
      <c r="EH4" s="44"/>
      <c r="EI4" s="44"/>
      <c r="EJ4" s="45" t="str">
        <f aca="false">(IF(EM4="","◄",""))</f>
        <v>◄</v>
      </c>
      <c r="EK4" s="46" t="n">
        <v>0.15</v>
      </c>
      <c r="EL4" s="47" t="n">
        <f aca="false">(IF(EH4&lt;&gt;"",1/2,0)+IF(EI4&lt;&gt;"",1,0))*EK4*EK$3*20</f>
        <v>0</v>
      </c>
      <c r="EM4" s="48" t="str">
        <f aca="false">IF(COUNTBLANK(EF4:EI4)=3,1,"")</f>
        <v/>
      </c>
      <c r="EN4" s="49" t="n">
        <f aca="false">IF(EF4="",EK4,0)</f>
        <v>0.15</v>
      </c>
      <c r="EO4" s="50" t="n">
        <f aca="false">IF(EN4=0,0,EK4/SUM(EN$4:EN$10))</f>
        <v>0.15</v>
      </c>
      <c r="EP4" s="44"/>
      <c r="EQ4" s="44"/>
      <c r="ER4" s="44"/>
      <c r="ES4" s="44"/>
      <c r="ET4" s="45" t="str">
        <f aca="false">(IF(EW4="","◄",""))</f>
        <v>◄</v>
      </c>
      <c r="EU4" s="46" t="n">
        <v>0.15</v>
      </c>
      <c r="EV4" s="47" t="n">
        <f aca="false">(IF(ER4&lt;&gt;"",1/2,0)+IF(ES4&lt;&gt;"",1,0))*EU4*EU$3*20</f>
        <v>0</v>
      </c>
      <c r="EW4" s="48" t="str">
        <f aca="false">IF(COUNTBLANK(EP4:ES4)=3,1,"")</f>
        <v/>
      </c>
      <c r="EX4" s="49" t="n">
        <f aca="false">IF(EP4="",EU4,0)</f>
        <v>0.15</v>
      </c>
      <c r="EY4" s="50" t="n">
        <f aca="false">IF(EX4=0,0,EU4/SUM(EX$4:EX$10))</f>
        <v>0.15</v>
      </c>
      <c r="EZ4" s="44"/>
      <c r="FA4" s="44"/>
      <c r="FB4" s="44"/>
      <c r="FC4" s="44"/>
      <c r="FD4" s="45" t="str">
        <f aca="false">(IF(FG4="","◄",""))</f>
        <v>◄</v>
      </c>
      <c r="FE4" s="46" t="n">
        <v>0.15</v>
      </c>
      <c r="FF4" s="47" t="n">
        <f aca="false">(IF(FB4&lt;&gt;"",1/2,0)+IF(FC4&lt;&gt;"",1,0))*FE4*FE$3*20</f>
        <v>0</v>
      </c>
      <c r="FG4" s="48" t="str">
        <f aca="false">IF(COUNTBLANK(EZ4:FC4)=3,1,"")</f>
        <v/>
      </c>
      <c r="FH4" s="49" t="n">
        <f aca="false">IF(EZ4="",FE4,0)</f>
        <v>0.15</v>
      </c>
      <c r="FI4" s="50" t="n">
        <f aca="false">IF(FH4=0,0,FE4/SUM(FH$4:FH$10))</f>
        <v>0.15</v>
      </c>
      <c r="FJ4" s="44"/>
      <c r="FK4" s="44"/>
      <c r="FL4" s="44"/>
      <c r="FM4" s="44"/>
      <c r="FN4" s="45" t="str">
        <f aca="false">(IF(FQ4="","◄",""))</f>
        <v>◄</v>
      </c>
      <c r="FO4" s="46" t="n">
        <v>0.15</v>
      </c>
      <c r="FP4" s="47" t="n">
        <f aca="false">(IF(FL4&lt;&gt;"",1/2,0)+IF(FM4&lt;&gt;"",1,0))*FO4*FO$3*20</f>
        <v>0</v>
      </c>
      <c r="FQ4" s="48" t="str">
        <f aca="false">IF(COUNTBLANK(FJ4:FM4)=3,1,"")</f>
        <v/>
      </c>
      <c r="FR4" s="49" t="n">
        <f aca="false">IF(FJ4="",FO4,0)</f>
        <v>0.15</v>
      </c>
      <c r="FS4" s="50" t="n">
        <f aca="false">IF(FR4=0,0,FO4/SUM(FR$4:FR$10))</f>
        <v>0.15</v>
      </c>
      <c r="FT4" s="44"/>
      <c r="FU4" s="44"/>
      <c r="FV4" s="44"/>
      <c r="FW4" s="44"/>
      <c r="FX4" s="45" t="str">
        <f aca="false">(IF(GA4="","◄",""))</f>
        <v>◄</v>
      </c>
      <c r="FY4" s="46" t="n">
        <v>0.15</v>
      </c>
      <c r="FZ4" s="47" t="n">
        <f aca="false">(IF(FV4&lt;&gt;"",1/2,0)+IF(FW4&lt;&gt;"",1,0))*FY4*FY$3*20</f>
        <v>0</v>
      </c>
      <c r="GA4" s="48" t="str">
        <f aca="false">IF(COUNTBLANK(FT4:FW4)=3,1,"")</f>
        <v/>
      </c>
      <c r="GB4" s="49" t="n">
        <f aca="false">IF(FT4="",FY4,0)</f>
        <v>0.15</v>
      </c>
      <c r="GC4" s="50" t="n">
        <f aca="false">IF(GB4=0,0,FY4/SUM(GB$4:GB$10))</f>
        <v>0.15</v>
      </c>
      <c r="GD4" s="44"/>
      <c r="GE4" s="44"/>
      <c r="GF4" s="44"/>
      <c r="GG4" s="44"/>
      <c r="GH4" s="45" t="str">
        <f aca="false">(IF(GK4="","◄",""))</f>
        <v>◄</v>
      </c>
      <c r="GI4" s="46" t="n">
        <v>0.15</v>
      </c>
      <c r="GJ4" s="47" t="n">
        <f aca="false">(IF(GF4&lt;&gt;"",1/2,0)+IF(GG4&lt;&gt;"",1,0))*GI4*GI$3*20</f>
        <v>0</v>
      </c>
      <c r="GK4" s="48" t="str">
        <f aca="false">IF(COUNTBLANK(GD4:GG4)=3,1,"")</f>
        <v/>
      </c>
      <c r="GL4" s="49" t="n">
        <f aca="false">IF(GD4="",GI4,0)</f>
        <v>0.15</v>
      </c>
      <c r="GM4" s="50" t="n">
        <f aca="false">IF(GL4=0,0,GI4/SUM(GL$4:GL$10))</f>
        <v>0.15</v>
      </c>
      <c r="GN4" s="44"/>
      <c r="GO4" s="44"/>
      <c r="GP4" s="44"/>
      <c r="GQ4" s="44"/>
      <c r="GR4" s="45" t="str">
        <f aca="false">(IF(GU4="","◄",""))</f>
        <v>◄</v>
      </c>
      <c r="GS4" s="46" t="n">
        <v>0.15</v>
      </c>
      <c r="GT4" s="47" t="n">
        <f aca="false">(IF(GP4&lt;&gt;"",1/2,0)+IF(GQ4&lt;&gt;"",1,0))*GS4*GS$3*20</f>
        <v>0</v>
      </c>
      <c r="GU4" s="48" t="str">
        <f aca="false">IF(COUNTBLANK(GN4:GQ4)=3,1,"")</f>
        <v/>
      </c>
      <c r="GV4" s="49" t="n">
        <f aca="false">IF(GN4="",GS4,0)</f>
        <v>0.15</v>
      </c>
      <c r="GW4" s="50" t="n">
        <f aca="false">IF(GV4=0,0,GS4/SUM(GV$4:GV$10))</f>
        <v>0.15</v>
      </c>
      <c r="GX4" s="44"/>
      <c r="GY4" s="44"/>
      <c r="GZ4" s="44"/>
      <c r="HA4" s="44"/>
      <c r="HB4" s="45" t="str">
        <f aca="false">(IF(HE4="","◄",""))</f>
        <v>◄</v>
      </c>
      <c r="HC4" s="46" t="n">
        <v>0.15</v>
      </c>
      <c r="HD4" s="47" t="n">
        <f aca="false">(IF(GZ4&lt;&gt;"",1/2,0)+IF(HA4&lt;&gt;"",1,0))*HC4*HC$3*20</f>
        <v>0</v>
      </c>
      <c r="HE4" s="48" t="str">
        <f aca="false">IF(COUNTBLANK(GX4:HA4)=3,1,"")</f>
        <v/>
      </c>
      <c r="HF4" s="49" t="n">
        <f aca="false">IF(GX4="",HC4,0)</f>
        <v>0.15</v>
      </c>
      <c r="HG4" s="50" t="n">
        <f aca="false">IF(HF4=0,0,HC4/SUM(HF$4:HF$10))</f>
        <v>0.15</v>
      </c>
      <c r="HH4" s="44"/>
      <c r="HI4" s="44"/>
      <c r="HJ4" s="44"/>
      <c r="HK4" s="44"/>
      <c r="HL4" s="45" t="str">
        <f aca="false">(IF(HO4="","◄",""))</f>
        <v>◄</v>
      </c>
      <c r="HM4" s="46" t="n">
        <v>0.15</v>
      </c>
      <c r="HN4" s="47" t="n">
        <f aca="false">(IF(HJ4&lt;&gt;"",1/2,0)+IF(HK4&lt;&gt;"",1,0))*HM4*HM$3*20</f>
        <v>0</v>
      </c>
      <c r="HO4" s="48" t="str">
        <f aca="false">IF(COUNTBLANK(HH4:HK4)=3,1,"")</f>
        <v/>
      </c>
      <c r="HP4" s="49" t="n">
        <f aca="false">IF(HH4="",HM4,0)</f>
        <v>0.15</v>
      </c>
      <c r="HQ4" s="50" t="n">
        <f aca="false">IF(HP4=0,0,HM4/SUM(HP$4:HP$10))</f>
        <v>0.15</v>
      </c>
      <c r="HR4" s="44"/>
      <c r="HS4" s="44"/>
      <c r="HT4" s="44"/>
      <c r="HU4" s="44"/>
      <c r="HV4" s="45" t="str">
        <f aca="false">(IF(HY4="","◄",""))</f>
        <v>◄</v>
      </c>
      <c r="HW4" s="46" t="n">
        <v>0.15</v>
      </c>
      <c r="HX4" s="47" t="n">
        <f aca="false">(IF(HT4&lt;&gt;"",1/2,0)+IF(HU4&lt;&gt;"",1,0))*HW4*HW$3*20</f>
        <v>0</v>
      </c>
      <c r="HY4" s="48" t="str">
        <f aca="false">IF(COUNTBLANK(HR4:HU4)=3,1,"")</f>
        <v/>
      </c>
      <c r="HZ4" s="49" t="n">
        <f aca="false">IF(HR4="",HW4,0)</f>
        <v>0.15</v>
      </c>
      <c r="IA4" s="50" t="n">
        <f aca="false">IF(HZ4=0,0,HW4/SUM(HZ$4:HZ$10))</f>
        <v>0.15</v>
      </c>
      <c r="IB4" s="44"/>
      <c r="IC4" s="44"/>
      <c r="ID4" s="44"/>
      <c r="IE4" s="44"/>
      <c r="IF4" s="45" t="str">
        <f aca="false">(IF(II4="","◄",""))</f>
        <v>◄</v>
      </c>
      <c r="IG4" s="46" t="n">
        <v>0.15</v>
      </c>
      <c r="IH4" s="47" t="n">
        <f aca="false">(IF(ID4&lt;&gt;"",1/2,0)+IF(IE4&lt;&gt;"",1,0))*IG4*IG$3*20</f>
        <v>0</v>
      </c>
      <c r="II4" s="48" t="str">
        <f aca="false">IF(COUNTBLANK(IB4:IE4)=3,1,"")</f>
        <v/>
      </c>
      <c r="IJ4" s="49" t="n">
        <f aca="false">IF(IB4="",IG4,0)</f>
        <v>0.15</v>
      </c>
      <c r="IK4" s="50" t="n">
        <f aca="false">IF(IJ4=0,0,IG4/SUM(IJ$4:IJ$10))</f>
        <v>0.15</v>
      </c>
    </row>
    <row r="5" s="51" customFormat="true" ht="49.5" hidden="false" customHeight="true" outlineLevel="0" collapsed="false">
      <c r="A5" s="39" t="n">
        <v>2</v>
      </c>
      <c r="B5" s="40" t="s">
        <v>15</v>
      </c>
      <c r="C5" s="41" t="n">
        <f aca="false">$R$43</f>
        <v>0</v>
      </c>
      <c r="D5" s="52" t="s">
        <v>13</v>
      </c>
      <c r="E5" s="53" t="s">
        <v>16</v>
      </c>
      <c r="F5" s="44"/>
      <c r="G5" s="44"/>
      <c r="H5" s="44"/>
      <c r="I5" s="44"/>
      <c r="J5" s="45" t="str">
        <f aca="false">(IF(M5="","◄",""))</f>
        <v>◄</v>
      </c>
      <c r="K5" s="46" t="n">
        <v>0.15</v>
      </c>
      <c r="L5" s="47" t="n">
        <f aca="false">(IF(H5&lt;&gt;"",1/2,0)+IF(I5&lt;&gt;"",1,0))*K5*K$3*20</f>
        <v>0</v>
      </c>
      <c r="M5" s="48" t="str">
        <f aca="false">IF(COUNTBLANK(F5:I5)=3,1,"")</f>
        <v/>
      </c>
      <c r="N5" s="49" t="n">
        <f aca="false">IF(F5="",K5,0)</f>
        <v>0.15</v>
      </c>
      <c r="O5" s="50" t="n">
        <f aca="false">IF(N5=0,0,K5/SUM(N$4:N$10))</f>
        <v>0.15</v>
      </c>
      <c r="P5" s="44"/>
      <c r="Q5" s="44"/>
      <c r="R5" s="44"/>
      <c r="S5" s="44"/>
      <c r="T5" s="45" t="str">
        <f aca="false">(IF(W5="","◄",""))</f>
        <v>◄</v>
      </c>
      <c r="U5" s="46" t="n">
        <v>0.15</v>
      </c>
      <c r="V5" s="47" t="n">
        <f aca="false">(IF(R5&lt;&gt;"",1/2,0)+IF(S5&lt;&gt;"",1,0))*U5*U$3*20</f>
        <v>0</v>
      </c>
      <c r="W5" s="48" t="str">
        <f aca="false">IF(COUNTBLANK(P5:S5)=3,1,"")</f>
        <v/>
      </c>
      <c r="X5" s="49" t="n">
        <f aca="false">IF(P5="",U5,0)</f>
        <v>0.15</v>
      </c>
      <c r="Y5" s="50" t="n">
        <f aca="false">IF(X5=0,0,U5/SUM(X$4:X$10))</f>
        <v>0.15</v>
      </c>
      <c r="Z5" s="44"/>
      <c r="AA5" s="44"/>
      <c r="AB5" s="44"/>
      <c r="AC5" s="44"/>
      <c r="AD5" s="45" t="str">
        <f aca="false">(IF(AG5="","◄",""))</f>
        <v>◄</v>
      </c>
      <c r="AE5" s="46" t="n">
        <v>0.15</v>
      </c>
      <c r="AF5" s="47" t="n">
        <f aca="false">(IF(AB5&lt;&gt;"",1/2,0)+IF(AC5&lt;&gt;"",1,0))*AE5*AE$3*20</f>
        <v>0</v>
      </c>
      <c r="AG5" s="48" t="str">
        <f aca="false">IF(COUNTBLANK(Z5:AC5)=3,1,"")</f>
        <v/>
      </c>
      <c r="AH5" s="49" t="n">
        <f aca="false">IF(Z5="",AE5,0)</f>
        <v>0.15</v>
      </c>
      <c r="AI5" s="50" t="n">
        <f aca="false">IF(AH5=0,0,AE5/SUM(AH$4:AH$10))</f>
        <v>0.15</v>
      </c>
      <c r="AJ5" s="44"/>
      <c r="AK5" s="44"/>
      <c r="AL5" s="44"/>
      <c r="AM5" s="44"/>
      <c r="AN5" s="45" t="str">
        <f aca="false">(IF(AQ5="","◄",""))</f>
        <v>◄</v>
      </c>
      <c r="AO5" s="46" t="n">
        <v>0.15</v>
      </c>
      <c r="AP5" s="47" t="n">
        <f aca="false">(IF(AL5&lt;&gt;"",1/2,0)+IF(AM5&lt;&gt;"",1,0))*AO5*AO$3*20</f>
        <v>0</v>
      </c>
      <c r="AQ5" s="48" t="str">
        <f aca="false">IF(COUNTBLANK(AJ5:AM5)=3,1,"")</f>
        <v/>
      </c>
      <c r="AR5" s="49" t="n">
        <f aca="false">IF(AJ5="",AO5,0)</f>
        <v>0.15</v>
      </c>
      <c r="AS5" s="50" t="n">
        <f aca="false">IF(AR5=0,0,AO5/SUM(AR$4:AR$10))</f>
        <v>0.15</v>
      </c>
      <c r="AT5" s="44"/>
      <c r="AU5" s="44"/>
      <c r="AV5" s="44"/>
      <c r="AW5" s="44"/>
      <c r="AX5" s="45" t="str">
        <f aca="false">(IF(BA5="","◄",""))</f>
        <v>◄</v>
      </c>
      <c r="AY5" s="46" t="n">
        <v>0.15</v>
      </c>
      <c r="AZ5" s="47" t="n">
        <f aca="false">(IF(AV5&lt;&gt;"",1/2,0)+IF(AW5&lt;&gt;"",1,0))*AY5*AY$3*20</f>
        <v>0</v>
      </c>
      <c r="BA5" s="48" t="str">
        <f aca="false">IF(COUNTBLANK(AT5:AW5)=3,1,"")</f>
        <v/>
      </c>
      <c r="BB5" s="49" t="n">
        <f aca="false">IF(AT5="",AY5,0)</f>
        <v>0.15</v>
      </c>
      <c r="BC5" s="50" t="n">
        <f aca="false">IF(BB5=0,0,AY5/SUM(BB$4:BB$10))</f>
        <v>0.15</v>
      </c>
      <c r="BD5" s="44"/>
      <c r="BE5" s="44"/>
      <c r="BF5" s="44"/>
      <c r="BG5" s="44"/>
      <c r="BH5" s="45" t="str">
        <f aca="false">(IF(BK5="","◄",""))</f>
        <v>◄</v>
      </c>
      <c r="BI5" s="46" t="n">
        <v>0.15</v>
      </c>
      <c r="BJ5" s="47" t="n">
        <f aca="false">(IF(BF5&lt;&gt;"",1/2,0)+IF(BG5&lt;&gt;"",1,0))*BI5*BI$3*20</f>
        <v>0</v>
      </c>
      <c r="BK5" s="48" t="str">
        <f aca="false">IF(COUNTBLANK(BD5:BG5)=3,1,"")</f>
        <v/>
      </c>
      <c r="BL5" s="49" t="n">
        <f aca="false">IF(BD5="",BI5,0)</f>
        <v>0.15</v>
      </c>
      <c r="BM5" s="50" t="n">
        <f aca="false">IF(BL5=0,0,BI5/SUM(BL$4:BL$10))</f>
        <v>0.15</v>
      </c>
      <c r="BN5" s="44"/>
      <c r="BO5" s="44"/>
      <c r="BP5" s="44"/>
      <c r="BQ5" s="44"/>
      <c r="BR5" s="45" t="str">
        <f aca="false">(IF(BU5="","◄",""))</f>
        <v>◄</v>
      </c>
      <c r="BS5" s="46" t="n">
        <v>0.15</v>
      </c>
      <c r="BT5" s="47" t="n">
        <f aca="false">(IF(BP5&lt;&gt;"",1/2,0)+IF(BQ5&lt;&gt;"",1,0))*BS5*BS$3*20</f>
        <v>0</v>
      </c>
      <c r="BU5" s="48" t="str">
        <f aca="false">IF(COUNTBLANK(BN5:BQ5)=3,1,"")</f>
        <v/>
      </c>
      <c r="BV5" s="49" t="n">
        <f aca="false">IF(BN5="",BS5,0)</f>
        <v>0.15</v>
      </c>
      <c r="BW5" s="50" t="n">
        <f aca="false">IF(BV5=0,0,BS5/SUM(BV$4:BV$10))</f>
        <v>0.15</v>
      </c>
      <c r="BX5" s="44"/>
      <c r="BY5" s="44"/>
      <c r="BZ5" s="44"/>
      <c r="CA5" s="44"/>
      <c r="CB5" s="45" t="str">
        <f aca="false">(IF(CE5="","◄",""))</f>
        <v>◄</v>
      </c>
      <c r="CC5" s="46" t="n">
        <v>0.15</v>
      </c>
      <c r="CD5" s="47" t="n">
        <f aca="false">(IF(BZ5&lt;&gt;"",1/2,0)+IF(CA5&lt;&gt;"",1,0))*CC5*CC$3*20</f>
        <v>0</v>
      </c>
      <c r="CE5" s="48" t="str">
        <f aca="false">IF(COUNTBLANK(BX5:CA5)=3,1,"")</f>
        <v/>
      </c>
      <c r="CF5" s="49" t="n">
        <f aca="false">IF(BX5="",CC5,0)</f>
        <v>0.15</v>
      </c>
      <c r="CG5" s="50" t="n">
        <f aca="false">IF(CF5=0,0,CC5/SUM(CF$4:CF$10))</f>
        <v>0.15</v>
      </c>
      <c r="CH5" s="44"/>
      <c r="CI5" s="44"/>
      <c r="CJ5" s="44"/>
      <c r="CK5" s="44"/>
      <c r="CL5" s="45" t="str">
        <f aca="false">(IF(CO5="","◄",""))</f>
        <v>◄</v>
      </c>
      <c r="CM5" s="46" t="n">
        <v>0.15</v>
      </c>
      <c r="CN5" s="47" t="n">
        <f aca="false">(IF(CJ5&lt;&gt;"",1/2,0)+IF(CK5&lt;&gt;"",1,0))*CM5*CM$3*20</f>
        <v>0</v>
      </c>
      <c r="CO5" s="48" t="str">
        <f aca="false">IF(COUNTBLANK(CH5:CK5)=3,1,"")</f>
        <v/>
      </c>
      <c r="CP5" s="49" t="n">
        <f aca="false">IF(CH5="",CM5,0)</f>
        <v>0.15</v>
      </c>
      <c r="CQ5" s="50" t="n">
        <f aca="false">IF(CP5=0,0,CM5/SUM(CP$4:CP$10))</f>
        <v>0.15</v>
      </c>
      <c r="CR5" s="44"/>
      <c r="CS5" s="44"/>
      <c r="CT5" s="44"/>
      <c r="CU5" s="44"/>
      <c r="CV5" s="45" t="str">
        <f aca="false">(IF(CY5="","◄",""))</f>
        <v>◄</v>
      </c>
      <c r="CW5" s="46" t="n">
        <v>0.15</v>
      </c>
      <c r="CX5" s="47" t="n">
        <f aca="false">(IF(CT5&lt;&gt;"",1/2,0)+IF(CU5&lt;&gt;"",1,0))*CW5*CW$3*20</f>
        <v>0</v>
      </c>
      <c r="CY5" s="48" t="str">
        <f aca="false">IF(COUNTBLANK(CR5:CU5)=3,1,"")</f>
        <v/>
      </c>
      <c r="CZ5" s="49" t="n">
        <f aca="false">IF(CR5="",CW5,0)</f>
        <v>0.15</v>
      </c>
      <c r="DA5" s="50" t="n">
        <f aca="false">IF(CZ5=0,0,CW5/SUM(CZ$4:CZ$10))</f>
        <v>0.15</v>
      </c>
      <c r="DB5" s="44"/>
      <c r="DC5" s="44"/>
      <c r="DD5" s="44"/>
      <c r="DE5" s="44"/>
      <c r="DF5" s="45" t="str">
        <f aca="false">(IF(DI5="","◄",""))</f>
        <v>◄</v>
      </c>
      <c r="DG5" s="46" t="n">
        <v>0.15</v>
      </c>
      <c r="DH5" s="47" t="n">
        <f aca="false">(IF(DD5&lt;&gt;"",1/2,0)+IF(DE5&lt;&gt;"",1,0))*DG5*DG$3*20</f>
        <v>0</v>
      </c>
      <c r="DI5" s="48" t="str">
        <f aca="false">IF(COUNTBLANK(DB5:DE5)=3,1,"")</f>
        <v/>
      </c>
      <c r="DJ5" s="49" t="n">
        <f aca="false">IF(DB5="",DG5,0)</f>
        <v>0.15</v>
      </c>
      <c r="DK5" s="50" t="n">
        <f aca="false">IF(DJ5=0,0,DG5/SUM(DJ$4:DJ$10))</f>
        <v>0.15</v>
      </c>
      <c r="DL5" s="44"/>
      <c r="DM5" s="44"/>
      <c r="DN5" s="44"/>
      <c r="DO5" s="44"/>
      <c r="DP5" s="45" t="str">
        <f aca="false">(IF(DS5="","◄",""))</f>
        <v>◄</v>
      </c>
      <c r="DQ5" s="46" t="n">
        <v>0.15</v>
      </c>
      <c r="DR5" s="47" t="n">
        <f aca="false">(IF(DN5&lt;&gt;"",1/2,0)+IF(DO5&lt;&gt;"",1,0))*DQ5*DQ$3*20</f>
        <v>0</v>
      </c>
      <c r="DS5" s="48" t="str">
        <f aca="false">IF(COUNTBLANK(DL5:DO5)=3,1,"")</f>
        <v/>
      </c>
      <c r="DT5" s="49" t="n">
        <f aca="false">IF(DL5="",DQ5,0)</f>
        <v>0.15</v>
      </c>
      <c r="DU5" s="50" t="n">
        <f aca="false">IF(DT5=0,0,DQ5/SUM(DT$4:DT$10))</f>
        <v>0.15</v>
      </c>
      <c r="DV5" s="44"/>
      <c r="DW5" s="44"/>
      <c r="DX5" s="44"/>
      <c r="DY5" s="44"/>
      <c r="DZ5" s="45" t="str">
        <f aca="false">(IF(EC5="","◄",""))</f>
        <v>◄</v>
      </c>
      <c r="EA5" s="46" t="n">
        <v>0.15</v>
      </c>
      <c r="EB5" s="47" t="n">
        <f aca="false">(IF(DX5&lt;&gt;"",1/2,0)+IF(DY5&lt;&gt;"",1,0))*EA5*EA$3*20</f>
        <v>0</v>
      </c>
      <c r="EC5" s="48" t="str">
        <f aca="false">IF(COUNTBLANK(DV5:DY5)=3,1,"")</f>
        <v/>
      </c>
      <c r="ED5" s="49" t="n">
        <f aca="false">IF(DV5="",EA5,0)</f>
        <v>0.15</v>
      </c>
      <c r="EE5" s="50" t="n">
        <f aca="false">IF(ED5=0,0,EA5/SUM(ED$4:ED$10))</f>
        <v>0.15</v>
      </c>
      <c r="EF5" s="44"/>
      <c r="EG5" s="44"/>
      <c r="EH5" s="44"/>
      <c r="EI5" s="44"/>
      <c r="EJ5" s="45" t="str">
        <f aca="false">(IF(EM5="","◄",""))</f>
        <v>◄</v>
      </c>
      <c r="EK5" s="46" t="n">
        <v>0.15</v>
      </c>
      <c r="EL5" s="47" t="n">
        <f aca="false">(IF(EH5&lt;&gt;"",1/2,0)+IF(EI5&lt;&gt;"",1,0))*EK5*EK$3*20</f>
        <v>0</v>
      </c>
      <c r="EM5" s="48" t="str">
        <f aca="false">IF(COUNTBLANK(EF5:EI5)=3,1,"")</f>
        <v/>
      </c>
      <c r="EN5" s="49" t="n">
        <f aca="false">IF(EF5="",EK5,0)</f>
        <v>0.15</v>
      </c>
      <c r="EO5" s="50" t="n">
        <f aca="false">IF(EN5=0,0,EK5/SUM(EN$4:EN$10))</f>
        <v>0.15</v>
      </c>
      <c r="EP5" s="44"/>
      <c r="EQ5" s="44"/>
      <c r="ER5" s="44"/>
      <c r="ES5" s="44"/>
      <c r="ET5" s="45" t="str">
        <f aca="false">(IF(EW5="","◄",""))</f>
        <v>◄</v>
      </c>
      <c r="EU5" s="46" t="n">
        <v>0.15</v>
      </c>
      <c r="EV5" s="47" t="n">
        <f aca="false">(IF(ER5&lt;&gt;"",1/2,0)+IF(ES5&lt;&gt;"",1,0))*EU5*EU$3*20</f>
        <v>0</v>
      </c>
      <c r="EW5" s="48" t="str">
        <f aca="false">IF(COUNTBLANK(EP5:ES5)=3,1,"")</f>
        <v/>
      </c>
      <c r="EX5" s="49" t="n">
        <f aca="false">IF(EP5="",EU5,0)</f>
        <v>0.15</v>
      </c>
      <c r="EY5" s="50" t="n">
        <f aca="false">IF(EX5=0,0,EU5/SUM(EX$4:EX$10))</f>
        <v>0.15</v>
      </c>
      <c r="EZ5" s="44"/>
      <c r="FA5" s="44"/>
      <c r="FB5" s="44"/>
      <c r="FC5" s="44"/>
      <c r="FD5" s="45" t="str">
        <f aca="false">(IF(FG5="","◄",""))</f>
        <v>◄</v>
      </c>
      <c r="FE5" s="46" t="n">
        <v>0.15</v>
      </c>
      <c r="FF5" s="47" t="n">
        <f aca="false">(IF(FB5&lt;&gt;"",1/2,0)+IF(FC5&lt;&gt;"",1,0))*FE5*FE$3*20</f>
        <v>0</v>
      </c>
      <c r="FG5" s="48" t="str">
        <f aca="false">IF(COUNTBLANK(EZ5:FC5)=3,1,"")</f>
        <v/>
      </c>
      <c r="FH5" s="49" t="n">
        <f aca="false">IF(EZ5="",FE5,0)</f>
        <v>0.15</v>
      </c>
      <c r="FI5" s="50" t="n">
        <f aca="false">IF(FH5=0,0,FE5/SUM(FH$4:FH$10))</f>
        <v>0.15</v>
      </c>
      <c r="FJ5" s="44"/>
      <c r="FK5" s="44"/>
      <c r="FL5" s="44"/>
      <c r="FM5" s="44"/>
      <c r="FN5" s="45" t="str">
        <f aca="false">(IF(FQ5="","◄",""))</f>
        <v>◄</v>
      </c>
      <c r="FO5" s="46" t="n">
        <v>0.15</v>
      </c>
      <c r="FP5" s="47" t="n">
        <f aca="false">(IF(FL5&lt;&gt;"",1/2,0)+IF(FM5&lt;&gt;"",1,0))*FO5*FO$3*20</f>
        <v>0</v>
      </c>
      <c r="FQ5" s="48" t="str">
        <f aca="false">IF(COUNTBLANK(FJ5:FM5)=3,1,"")</f>
        <v/>
      </c>
      <c r="FR5" s="49" t="n">
        <f aca="false">IF(FJ5="",FO5,0)</f>
        <v>0.15</v>
      </c>
      <c r="FS5" s="50" t="n">
        <f aca="false">IF(FR5=0,0,FO5/SUM(FR$4:FR$10))</f>
        <v>0.15</v>
      </c>
      <c r="FT5" s="44"/>
      <c r="FU5" s="44"/>
      <c r="FV5" s="44"/>
      <c r="FW5" s="44"/>
      <c r="FX5" s="45" t="str">
        <f aca="false">(IF(GA5="","◄",""))</f>
        <v>◄</v>
      </c>
      <c r="FY5" s="46" t="n">
        <v>0.15</v>
      </c>
      <c r="FZ5" s="47" t="n">
        <f aca="false">(IF(FV5&lt;&gt;"",1/2,0)+IF(FW5&lt;&gt;"",1,0))*FY5*FY$3*20</f>
        <v>0</v>
      </c>
      <c r="GA5" s="48" t="str">
        <f aca="false">IF(COUNTBLANK(FT5:FW5)=3,1,"")</f>
        <v/>
      </c>
      <c r="GB5" s="49" t="n">
        <f aca="false">IF(FT5="",FY5,0)</f>
        <v>0.15</v>
      </c>
      <c r="GC5" s="50" t="n">
        <f aca="false">IF(GB5=0,0,FY5/SUM(GB$4:GB$10))</f>
        <v>0.15</v>
      </c>
      <c r="GD5" s="44"/>
      <c r="GE5" s="44"/>
      <c r="GF5" s="44"/>
      <c r="GG5" s="44"/>
      <c r="GH5" s="45" t="str">
        <f aca="false">(IF(GK5="","◄",""))</f>
        <v>◄</v>
      </c>
      <c r="GI5" s="46" t="n">
        <v>0.15</v>
      </c>
      <c r="GJ5" s="47" t="n">
        <f aca="false">(IF(GF5&lt;&gt;"",1/2,0)+IF(GG5&lt;&gt;"",1,0))*GI5*GI$3*20</f>
        <v>0</v>
      </c>
      <c r="GK5" s="48" t="str">
        <f aca="false">IF(COUNTBLANK(GD5:GG5)=3,1,"")</f>
        <v/>
      </c>
      <c r="GL5" s="49" t="n">
        <f aca="false">IF(GD5="",GI5,0)</f>
        <v>0.15</v>
      </c>
      <c r="GM5" s="50" t="n">
        <f aca="false">IF(GL5=0,0,GI5/SUM(GL$4:GL$10))</f>
        <v>0.15</v>
      </c>
      <c r="GN5" s="44"/>
      <c r="GO5" s="44"/>
      <c r="GP5" s="44"/>
      <c r="GQ5" s="44"/>
      <c r="GR5" s="45" t="str">
        <f aca="false">(IF(GU5="","◄",""))</f>
        <v>◄</v>
      </c>
      <c r="GS5" s="46" t="n">
        <v>0.15</v>
      </c>
      <c r="GT5" s="47" t="n">
        <f aca="false">(IF(GP5&lt;&gt;"",1/2,0)+IF(GQ5&lt;&gt;"",1,0))*GS5*GS$3*20</f>
        <v>0</v>
      </c>
      <c r="GU5" s="48" t="str">
        <f aca="false">IF(COUNTBLANK(GN5:GQ5)=3,1,"")</f>
        <v/>
      </c>
      <c r="GV5" s="49" t="n">
        <f aca="false">IF(GN5="",GS5,0)</f>
        <v>0.15</v>
      </c>
      <c r="GW5" s="50" t="n">
        <f aca="false">IF(GV5=0,0,GS5/SUM(GV$4:GV$10))</f>
        <v>0.15</v>
      </c>
      <c r="GX5" s="44"/>
      <c r="GY5" s="44"/>
      <c r="GZ5" s="44"/>
      <c r="HA5" s="44"/>
      <c r="HB5" s="45" t="str">
        <f aca="false">(IF(HE5="","◄",""))</f>
        <v>◄</v>
      </c>
      <c r="HC5" s="46" t="n">
        <v>0.15</v>
      </c>
      <c r="HD5" s="47" t="n">
        <f aca="false">(IF(GZ5&lt;&gt;"",1/2,0)+IF(HA5&lt;&gt;"",1,0))*HC5*HC$3*20</f>
        <v>0</v>
      </c>
      <c r="HE5" s="48" t="str">
        <f aca="false">IF(COUNTBLANK(GX5:HA5)=3,1,"")</f>
        <v/>
      </c>
      <c r="HF5" s="49" t="n">
        <f aca="false">IF(GX5="",HC5,0)</f>
        <v>0.15</v>
      </c>
      <c r="HG5" s="50" t="n">
        <f aca="false">IF(HF5=0,0,HC5/SUM(HF$4:HF$10))</f>
        <v>0.15</v>
      </c>
      <c r="HH5" s="44"/>
      <c r="HI5" s="44"/>
      <c r="HJ5" s="44"/>
      <c r="HK5" s="44"/>
      <c r="HL5" s="45" t="str">
        <f aca="false">(IF(HO5="","◄",""))</f>
        <v>◄</v>
      </c>
      <c r="HM5" s="46" t="n">
        <v>0.15</v>
      </c>
      <c r="HN5" s="47" t="n">
        <f aca="false">(IF(HJ5&lt;&gt;"",1/2,0)+IF(HK5&lt;&gt;"",1,0))*HM5*HM$3*20</f>
        <v>0</v>
      </c>
      <c r="HO5" s="48" t="str">
        <f aca="false">IF(COUNTBLANK(HH5:HK5)=3,1,"")</f>
        <v/>
      </c>
      <c r="HP5" s="49" t="n">
        <f aca="false">IF(HH5="",HM5,0)</f>
        <v>0.15</v>
      </c>
      <c r="HQ5" s="50" t="n">
        <f aca="false">IF(HP5=0,0,HM5/SUM(HP$4:HP$10))</f>
        <v>0.15</v>
      </c>
      <c r="HR5" s="44"/>
      <c r="HS5" s="44"/>
      <c r="HT5" s="44"/>
      <c r="HU5" s="44"/>
      <c r="HV5" s="45" t="str">
        <f aca="false">(IF(HY5="","◄",""))</f>
        <v>◄</v>
      </c>
      <c r="HW5" s="46" t="n">
        <v>0.15</v>
      </c>
      <c r="HX5" s="47" t="n">
        <f aca="false">(IF(HT5&lt;&gt;"",1/2,0)+IF(HU5&lt;&gt;"",1,0))*HW5*HW$3*20</f>
        <v>0</v>
      </c>
      <c r="HY5" s="48" t="str">
        <f aca="false">IF(COUNTBLANK(HR5:HU5)=3,1,"")</f>
        <v/>
      </c>
      <c r="HZ5" s="49" t="n">
        <f aca="false">IF(HR5="",HW5,0)</f>
        <v>0.15</v>
      </c>
      <c r="IA5" s="50" t="n">
        <f aca="false">IF(HZ5=0,0,HW5/SUM(HZ$4:HZ$10))</f>
        <v>0.15</v>
      </c>
      <c r="IB5" s="44"/>
      <c r="IC5" s="44"/>
      <c r="ID5" s="44"/>
      <c r="IE5" s="44"/>
      <c r="IF5" s="45" t="str">
        <f aca="false">(IF(II5="","◄",""))</f>
        <v>◄</v>
      </c>
      <c r="IG5" s="46" t="n">
        <v>0.15</v>
      </c>
      <c r="IH5" s="47" t="n">
        <f aca="false">(IF(ID5&lt;&gt;"",1/2,0)+IF(IE5&lt;&gt;"",1,0))*IG5*IG$3*20</f>
        <v>0</v>
      </c>
      <c r="II5" s="48" t="str">
        <f aca="false">IF(COUNTBLANK(IB5:IE5)=3,1,"")</f>
        <v/>
      </c>
      <c r="IJ5" s="49" t="n">
        <f aca="false">IF(IB5="",IG5,0)</f>
        <v>0.15</v>
      </c>
      <c r="IK5" s="50" t="n">
        <f aca="false">IF(IJ5=0,0,IG5/SUM(IJ$4:IJ$10))</f>
        <v>0.15</v>
      </c>
    </row>
    <row r="6" s="51" customFormat="true" ht="69" hidden="false" customHeight="true" outlineLevel="0" collapsed="false">
      <c r="A6" s="39" t="n">
        <v>3</v>
      </c>
      <c r="B6" s="40" t="s">
        <v>17</v>
      </c>
      <c r="C6" s="41" t="n">
        <f aca="false">$AB$43</f>
        <v>0</v>
      </c>
      <c r="D6" s="54" t="s">
        <v>18</v>
      </c>
      <c r="E6" s="53" t="s">
        <v>19</v>
      </c>
      <c r="F6" s="44"/>
      <c r="G6" s="44"/>
      <c r="H6" s="44"/>
      <c r="I6" s="44"/>
      <c r="J6" s="45" t="str">
        <f aca="false">(IF(M6="","◄",""))</f>
        <v>◄</v>
      </c>
      <c r="K6" s="46" t="n">
        <v>0.15</v>
      </c>
      <c r="L6" s="47" t="n">
        <f aca="false">(IF(H6&lt;&gt;"",1/2,0)+IF(I6&lt;&gt;"",1,0))*K6*K$3*20</f>
        <v>0</v>
      </c>
      <c r="M6" s="48" t="str">
        <f aca="false">IF(COUNTBLANK(F6:I6)=3,1,"")</f>
        <v/>
      </c>
      <c r="N6" s="49" t="n">
        <f aca="false">IF(F6="",K6,0)</f>
        <v>0.15</v>
      </c>
      <c r="O6" s="50" t="n">
        <f aca="false">IF(N6=0,0,K6/SUM(N$4:N$10))</f>
        <v>0.15</v>
      </c>
      <c r="P6" s="44"/>
      <c r="Q6" s="44"/>
      <c r="R6" s="44"/>
      <c r="S6" s="44"/>
      <c r="T6" s="45" t="str">
        <f aca="false">(IF(W6="","◄",""))</f>
        <v>◄</v>
      </c>
      <c r="U6" s="46" t="n">
        <v>0.15</v>
      </c>
      <c r="V6" s="47" t="n">
        <f aca="false">(IF(R6&lt;&gt;"",1/2,0)+IF(S6&lt;&gt;"",1,0))*U6*U$3*20</f>
        <v>0</v>
      </c>
      <c r="W6" s="48" t="str">
        <f aca="false">IF(COUNTBLANK(P6:S6)=3,1,"")</f>
        <v/>
      </c>
      <c r="X6" s="49" t="n">
        <f aca="false">IF(P6="",U6,0)</f>
        <v>0.15</v>
      </c>
      <c r="Y6" s="50" t="n">
        <f aca="false">IF(X6=0,0,U6/SUM(X$4:X$10))</f>
        <v>0.15</v>
      </c>
      <c r="Z6" s="44"/>
      <c r="AA6" s="44"/>
      <c r="AB6" s="44"/>
      <c r="AC6" s="44"/>
      <c r="AD6" s="45" t="str">
        <f aca="false">(IF(AG6="","◄",""))</f>
        <v>◄</v>
      </c>
      <c r="AE6" s="46" t="n">
        <v>0.15</v>
      </c>
      <c r="AF6" s="47" t="n">
        <f aca="false">(IF(AB6&lt;&gt;"",1/2,0)+IF(AC6&lt;&gt;"",1,0))*AE6*AE$3*20</f>
        <v>0</v>
      </c>
      <c r="AG6" s="48" t="str">
        <f aca="false">IF(COUNTBLANK(Z6:AC6)=3,1,"")</f>
        <v/>
      </c>
      <c r="AH6" s="49" t="n">
        <f aca="false">IF(Z6="",AE6,0)</f>
        <v>0.15</v>
      </c>
      <c r="AI6" s="50" t="n">
        <f aca="false">IF(AH6=0,0,AE6/SUM(AH$4:AH$10))</f>
        <v>0.15</v>
      </c>
      <c r="AJ6" s="44"/>
      <c r="AK6" s="44"/>
      <c r="AL6" s="44"/>
      <c r="AM6" s="44"/>
      <c r="AN6" s="45" t="str">
        <f aca="false">(IF(AQ6="","◄",""))</f>
        <v>◄</v>
      </c>
      <c r="AO6" s="46" t="n">
        <v>0.15</v>
      </c>
      <c r="AP6" s="47" t="n">
        <f aca="false">(IF(AL6&lt;&gt;"",1/2,0)+IF(AM6&lt;&gt;"",1,0))*AO6*AO$3*20</f>
        <v>0</v>
      </c>
      <c r="AQ6" s="48" t="str">
        <f aca="false">IF(COUNTBLANK(AJ6:AM6)=3,1,"")</f>
        <v/>
      </c>
      <c r="AR6" s="49" t="n">
        <f aca="false">IF(AJ6="",AO6,0)</f>
        <v>0.15</v>
      </c>
      <c r="AS6" s="50" t="n">
        <f aca="false">IF(AR6=0,0,AO6/SUM(AR$4:AR$10))</f>
        <v>0.15</v>
      </c>
      <c r="AT6" s="44"/>
      <c r="AU6" s="44"/>
      <c r="AV6" s="44"/>
      <c r="AW6" s="44"/>
      <c r="AX6" s="45" t="str">
        <f aca="false">(IF(BA6="","◄",""))</f>
        <v>◄</v>
      </c>
      <c r="AY6" s="46" t="n">
        <v>0.15</v>
      </c>
      <c r="AZ6" s="47" t="n">
        <f aca="false">(IF(AV6&lt;&gt;"",1/2,0)+IF(AW6&lt;&gt;"",1,0))*AY6*AY$3*20</f>
        <v>0</v>
      </c>
      <c r="BA6" s="48" t="str">
        <f aca="false">IF(COUNTBLANK(AT6:AW6)=3,1,"")</f>
        <v/>
      </c>
      <c r="BB6" s="49" t="n">
        <f aca="false">IF(AT6="",AY6,0)</f>
        <v>0.15</v>
      </c>
      <c r="BC6" s="50" t="n">
        <f aca="false">IF(BB6=0,0,AY6/SUM(BB$4:BB$10))</f>
        <v>0.15</v>
      </c>
      <c r="BD6" s="44"/>
      <c r="BE6" s="44"/>
      <c r="BF6" s="44"/>
      <c r="BG6" s="44"/>
      <c r="BH6" s="45" t="str">
        <f aca="false">(IF(BK6="","◄",""))</f>
        <v>◄</v>
      </c>
      <c r="BI6" s="46" t="n">
        <v>0.15</v>
      </c>
      <c r="BJ6" s="47" t="n">
        <f aca="false">(IF(BF6&lt;&gt;"",1/2,0)+IF(BG6&lt;&gt;"",1,0))*BI6*BI$3*20</f>
        <v>0</v>
      </c>
      <c r="BK6" s="48" t="str">
        <f aca="false">IF(COUNTBLANK(BD6:BG6)=3,1,"")</f>
        <v/>
      </c>
      <c r="BL6" s="49" t="n">
        <f aca="false">IF(BD6="",BI6,0)</f>
        <v>0.15</v>
      </c>
      <c r="BM6" s="50" t="n">
        <f aca="false">IF(BL6=0,0,BI6/SUM(BL$4:BL$10))</f>
        <v>0.15</v>
      </c>
      <c r="BN6" s="44"/>
      <c r="BO6" s="44"/>
      <c r="BP6" s="44"/>
      <c r="BQ6" s="44"/>
      <c r="BR6" s="45" t="str">
        <f aca="false">(IF(BU6="","◄",""))</f>
        <v>◄</v>
      </c>
      <c r="BS6" s="46" t="n">
        <v>0.15</v>
      </c>
      <c r="BT6" s="47" t="n">
        <f aca="false">(IF(BP6&lt;&gt;"",1/2,0)+IF(BQ6&lt;&gt;"",1,0))*BS6*BS$3*20</f>
        <v>0</v>
      </c>
      <c r="BU6" s="48" t="str">
        <f aca="false">IF(COUNTBLANK(BN6:BQ6)=3,1,"")</f>
        <v/>
      </c>
      <c r="BV6" s="49" t="n">
        <f aca="false">IF(BN6="",BS6,0)</f>
        <v>0.15</v>
      </c>
      <c r="BW6" s="50" t="n">
        <f aca="false">IF(BV6=0,0,BS6/SUM(BV$4:BV$10))</f>
        <v>0.15</v>
      </c>
      <c r="BX6" s="44"/>
      <c r="BY6" s="44"/>
      <c r="BZ6" s="44"/>
      <c r="CA6" s="44"/>
      <c r="CB6" s="45" t="str">
        <f aca="false">(IF(CE6="","◄",""))</f>
        <v>◄</v>
      </c>
      <c r="CC6" s="46" t="n">
        <v>0.15</v>
      </c>
      <c r="CD6" s="47" t="n">
        <f aca="false">(IF(BZ6&lt;&gt;"",1/2,0)+IF(CA6&lt;&gt;"",1,0))*CC6*CC$3*20</f>
        <v>0</v>
      </c>
      <c r="CE6" s="48" t="str">
        <f aca="false">IF(COUNTBLANK(BX6:CA6)=3,1,"")</f>
        <v/>
      </c>
      <c r="CF6" s="49" t="n">
        <f aca="false">IF(BX6="",CC6,0)</f>
        <v>0.15</v>
      </c>
      <c r="CG6" s="50" t="n">
        <f aca="false">IF(CF6=0,0,CC6/SUM(CF$4:CF$10))</f>
        <v>0.15</v>
      </c>
      <c r="CH6" s="44"/>
      <c r="CI6" s="44"/>
      <c r="CJ6" s="44"/>
      <c r="CK6" s="44"/>
      <c r="CL6" s="45" t="str">
        <f aca="false">(IF(CO6="","◄",""))</f>
        <v>◄</v>
      </c>
      <c r="CM6" s="46" t="n">
        <v>0.15</v>
      </c>
      <c r="CN6" s="47" t="n">
        <f aca="false">(IF(CJ6&lt;&gt;"",1/2,0)+IF(CK6&lt;&gt;"",1,0))*CM6*CM$3*20</f>
        <v>0</v>
      </c>
      <c r="CO6" s="48" t="str">
        <f aca="false">IF(COUNTBLANK(CH6:CK6)=3,1,"")</f>
        <v/>
      </c>
      <c r="CP6" s="49" t="n">
        <f aca="false">IF(CH6="",CM6,0)</f>
        <v>0.15</v>
      </c>
      <c r="CQ6" s="50" t="n">
        <f aca="false">IF(CP6=0,0,CM6/SUM(CP$4:CP$10))</f>
        <v>0.15</v>
      </c>
      <c r="CR6" s="44"/>
      <c r="CS6" s="44"/>
      <c r="CT6" s="44"/>
      <c r="CU6" s="44"/>
      <c r="CV6" s="45" t="str">
        <f aca="false">(IF(CY6="","◄",""))</f>
        <v>◄</v>
      </c>
      <c r="CW6" s="46" t="n">
        <v>0.15</v>
      </c>
      <c r="CX6" s="47" t="n">
        <f aca="false">(IF(CT6&lt;&gt;"",1/2,0)+IF(CU6&lt;&gt;"",1,0))*CW6*CW$3*20</f>
        <v>0</v>
      </c>
      <c r="CY6" s="48" t="str">
        <f aca="false">IF(COUNTBLANK(CR6:CU6)=3,1,"")</f>
        <v/>
      </c>
      <c r="CZ6" s="49" t="n">
        <f aca="false">IF(CR6="",CW6,0)</f>
        <v>0.15</v>
      </c>
      <c r="DA6" s="50" t="n">
        <f aca="false">IF(CZ6=0,0,CW6/SUM(CZ$4:CZ$10))</f>
        <v>0.15</v>
      </c>
      <c r="DB6" s="44"/>
      <c r="DC6" s="44"/>
      <c r="DD6" s="44"/>
      <c r="DE6" s="44"/>
      <c r="DF6" s="45" t="str">
        <f aca="false">(IF(DI6="","◄",""))</f>
        <v>◄</v>
      </c>
      <c r="DG6" s="46" t="n">
        <v>0.15</v>
      </c>
      <c r="DH6" s="47" t="n">
        <f aca="false">(IF(DD6&lt;&gt;"",1/2,0)+IF(DE6&lt;&gt;"",1,0))*DG6*DG$3*20</f>
        <v>0</v>
      </c>
      <c r="DI6" s="48" t="str">
        <f aca="false">IF(COUNTBLANK(DB6:DE6)=3,1,"")</f>
        <v/>
      </c>
      <c r="DJ6" s="49" t="n">
        <f aca="false">IF(DB6="",DG6,0)</f>
        <v>0.15</v>
      </c>
      <c r="DK6" s="50" t="n">
        <f aca="false">IF(DJ6=0,0,DG6/SUM(DJ$4:DJ$10))</f>
        <v>0.15</v>
      </c>
      <c r="DL6" s="44"/>
      <c r="DM6" s="44"/>
      <c r="DN6" s="44"/>
      <c r="DO6" s="44"/>
      <c r="DP6" s="45" t="str">
        <f aca="false">(IF(DS6="","◄",""))</f>
        <v>◄</v>
      </c>
      <c r="DQ6" s="46" t="n">
        <v>0.15</v>
      </c>
      <c r="DR6" s="47" t="n">
        <f aca="false">(IF(DN6&lt;&gt;"",1/2,0)+IF(DO6&lt;&gt;"",1,0))*DQ6*DQ$3*20</f>
        <v>0</v>
      </c>
      <c r="DS6" s="48" t="str">
        <f aca="false">IF(COUNTBLANK(DL6:DO6)=3,1,"")</f>
        <v/>
      </c>
      <c r="DT6" s="49" t="n">
        <f aca="false">IF(DL6="",DQ6,0)</f>
        <v>0.15</v>
      </c>
      <c r="DU6" s="50" t="n">
        <f aca="false">IF(DT6=0,0,DQ6/SUM(DT$4:DT$10))</f>
        <v>0.15</v>
      </c>
      <c r="DV6" s="44"/>
      <c r="DW6" s="44"/>
      <c r="DX6" s="44"/>
      <c r="DY6" s="44"/>
      <c r="DZ6" s="45" t="str">
        <f aca="false">(IF(EC6="","◄",""))</f>
        <v>◄</v>
      </c>
      <c r="EA6" s="46" t="n">
        <v>0.15</v>
      </c>
      <c r="EB6" s="47" t="n">
        <f aca="false">(IF(DX6&lt;&gt;"",1/2,0)+IF(DY6&lt;&gt;"",1,0))*EA6*EA$3*20</f>
        <v>0</v>
      </c>
      <c r="EC6" s="48" t="str">
        <f aca="false">IF(COUNTBLANK(DV6:DY6)=3,1,"")</f>
        <v/>
      </c>
      <c r="ED6" s="49" t="n">
        <f aca="false">IF(DV6="",EA6,0)</f>
        <v>0.15</v>
      </c>
      <c r="EE6" s="50" t="n">
        <f aca="false">IF(ED6=0,0,EA6/SUM(ED$4:ED$10))</f>
        <v>0.15</v>
      </c>
      <c r="EF6" s="44"/>
      <c r="EG6" s="44"/>
      <c r="EH6" s="44"/>
      <c r="EI6" s="44"/>
      <c r="EJ6" s="45" t="str">
        <f aca="false">(IF(EM6="","◄",""))</f>
        <v>◄</v>
      </c>
      <c r="EK6" s="46" t="n">
        <v>0.15</v>
      </c>
      <c r="EL6" s="47" t="n">
        <f aca="false">(IF(EH6&lt;&gt;"",1/2,0)+IF(EI6&lt;&gt;"",1,0))*EK6*EK$3*20</f>
        <v>0</v>
      </c>
      <c r="EM6" s="48" t="str">
        <f aca="false">IF(COUNTBLANK(EF6:EI6)=3,1,"")</f>
        <v/>
      </c>
      <c r="EN6" s="49" t="n">
        <f aca="false">IF(EF6="",EK6,0)</f>
        <v>0.15</v>
      </c>
      <c r="EO6" s="50" t="n">
        <f aca="false">IF(EN6=0,0,EK6/SUM(EN$4:EN$10))</f>
        <v>0.15</v>
      </c>
      <c r="EP6" s="44"/>
      <c r="EQ6" s="44"/>
      <c r="ER6" s="44"/>
      <c r="ES6" s="44"/>
      <c r="ET6" s="45" t="str">
        <f aca="false">(IF(EW6="","◄",""))</f>
        <v>◄</v>
      </c>
      <c r="EU6" s="46" t="n">
        <v>0.15</v>
      </c>
      <c r="EV6" s="47" t="n">
        <f aca="false">(IF(ER6&lt;&gt;"",1/2,0)+IF(ES6&lt;&gt;"",1,0))*EU6*EU$3*20</f>
        <v>0</v>
      </c>
      <c r="EW6" s="48" t="str">
        <f aca="false">IF(COUNTBLANK(EP6:ES6)=3,1,"")</f>
        <v/>
      </c>
      <c r="EX6" s="49" t="n">
        <f aca="false">IF(EP6="",EU6,0)</f>
        <v>0.15</v>
      </c>
      <c r="EY6" s="50" t="n">
        <f aca="false">IF(EX6=0,0,EU6/SUM(EX$4:EX$10))</f>
        <v>0.15</v>
      </c>
      <c r="EZ6" s="44"/>
      <c r="FA6" s="44"/>
      <c r="FB6" s="44"/>
      <c r="FC6" s="44"/>
      <c r="FD6" s="45" t="str">
        <f aca="false">(IF(FG6="","◄",""))</f>
        <v>◄</v>
      </c>
      <c r="FE6" s="46" t="n">
        <v>0.15</v>
      </c>
      <c r="FF6" s="47" t="n">
        <f aca="false">(IF(FB6&lt;&gt;"",1/2,0)+IF(FC6&lt;&gt;"",1,0))*FE6*FE$3*20</f>
        <v>0</v>
      </c>
      <c r="FG6" s="48" t="str">
        <f aca="false">IF(COUNTBLANK(EZ6:FC6)=3,1,"")</f>
        <v/>
      </c>
      <c r="FH6" s="49" t="n">
        <f aca="false">IF(EZ6="",FE6,0)</f>
        <v>0.15</v>
      </c>
      <c r="FI6" s="50" t="n">
        <f aca="false">IF(FH6=0,0,FE6/SUM(FH$4:FH$10))</f>
        <v>0.15</v>
      </c>
      <c r="FJ6" s="44"/>
      <c r="FK6" s="44"/>
      <c r="FL6" s="44"/>
      <c r="FM6" s="44"/>
      <c r="FN6" s="45" t="str">
        <f aca="false">(IF(FQ6="","◄",""))</f>
        <v>◄</v>
      </c>
      <c r="FO6" s="46" t="n">
        <v>0.15</v>
      </c>
      <c r="FP6" s="47" t="n">
        <f aca="false">(IF(FL6&lt;&gt;"",1/2,0)+IF(FM6&lt;&gt;"",1,0))*FO6*FO$3*20</f>
        <v>0</v>
      </c>
      <c r="FQ6" s="48" t="str">
        <f aca="false">IF(COUNTBLANK(FJ6:FM6)=3,1,"")</f>
        <v/>
      </c>
      <c r="FR6" s="49" t="n">
        <f aca="false">IF(FJ6="",FO6,0)</f>
        <v>0.15</v>
      </c>
      <c r="FS6" s="50" t="n">
        <f aca="false">IF(FR6=0,0,FO6/SUM(FR$4:FR$10))</f>
        <v>0.15</v>
      </c>
      <c r="FT6" s="44"/>
      <c r="FU6" s="44"/>
      <c r="FV6" s="44"/>
      <c r="FW6" s="44"/>
      <c r="FX6" s="45" t="str">
        <f aca="false">(IF(GA6="","◄",""))</f>
        <v>◄</v>
      </c>
      <c r="FY6" s="46" t="n">
        <v>0.15</v>
      </c>
      <c r="FZ6" s="47" t="n">
        <f aca="false">(IF(FV6&lt;&gt;"",1/2,0)+IF(FW6&lt;&gt;"",1,0))*FY6*FY$3*20</f>
        <v>0</v>
      </c>
      <c r="GA6" s="48" t="str">
        <f aca="false">IF(COUNTBLANK(FT6:FW6)=3,1,"")</f>
        <v/>
      </c>
      <c r="GB6" s="49" t="n">
        <f aca="false">IF(FT6="",FY6,0)</f>
        <v>0.15</v>
      </c>
      <c r="GC6" s="50" t="n">
        <f aca="false">IF(GB6=0,0,FY6/SUM(GB$4:GB$10))</f>
        <v>0.15</v>
      </c>
      <c r="GD6" s="44"/>
      <c r="GE6" s="44"/>
      <c r="GF6" s="44"/>
      <c r="GG6" s="44"/>
      <c r="GH6" s="45" t="str">
        <f aca="false">(IF(GK6="","◄",""))</f>
        <v>◄</v>
      </c>
      <c r="GI6" s="46" t="n">
        <v>0.15</v>
      </c>
      <c r="GJ6" s="47" t="n">
        <f aca="false">(IF(GF6&lt;&gt;"",1/2,0)+IF(GG6&lt;&gt;"",1,0))*GI6*GI$3*20</f>
        <v>0</v>
      </c>
      <c r="GK6" s="48" t="str">
        <f aca="false">IF(COUNTBLANK(GD6:GG6)=3,1,"")</f>
        <v/>
      </c>
      <c r="GL6" s="49" t="n">
        <f aca="false">IF(GD6="",GI6,0)</f>
        <v>0.15</v>
      </c>
      <c r="GM6" s="50" t="n">
        <f aca="false">IF(GL6=0,0,GI6/SUM(GL$4:GL$10))</f>
        <v>0.15</v>
      </c>
      <c r="GN6" s="44"/>
      <c r="GO6" s="44"/>
      <c r="GP6" s="44"/>
      <c r="GQ6" s="44"/>
      <c r="GR6" s="45" t="str">
        <f aca="false">(IF(GU6="","◄",""))</f>
        <v>◄</v>
      </c>
      <c r="GS6" s="46" t="n">
        <v>0.15</v>
      </c>
      <c r="GT6" s="47" t="n">
        <f aca="false">(IF(GP6&lt;&gt;"",1/2,0)+IF(GQ6&lt;&gt;"",1,0))*GS6*GS$3*20</f>
        <v>0</v>
      </c>
      <c r="GU6" s="48" t="str">
        <f aca="false">IF(COUNTBLANK(GN6:GQ6)=3,1,"")</f>
        <v/>
      </c>
      <c r="GV6" s="49" t="n">
        <f aca="false">IF(GN6="",GS6,0)</f>
        <v>0.15</v>
      </c>
      <c r="GW6" s="50" t="n">
        <f aca="false">IF(GV6=0,0,GS6/SUM(GV$4:GV$10))</f>
        <v>0.15</v>
      </c>
      <c r="GX6" s="44"/>
      <c r="GY6" s="44"/>
      <c r="GZ6" s="44"/>
      <c r="HA6" s="44"/>
      <c r="HB6" s="45" t="str">
        <f aca="false">(IF(HE6="","◄",""))</f>
        <v>◄</v>
      </c>
      <c r="HC6" s="46" t="n">
        <v>0.15</v>
      </c>
      <c r="HD6" s="47" t="n">
        <f aca="false">(IF(GZ6&lt;&gt;"",1/2,0)+IF(HA6&lt;&gt;"",1,0))*HC6*HC$3*20</f>
        <v>0</v>
      </c>
      <c r="HE6" s="48" t="str">
        <f aca="false">IF(COUNTBLANK(GX6:HA6)=3,1,"")</f>
        <v/>
      </c>
      <c r="HF6" s="49" t="n">
        <f aca="false">IF(GX6="",HC6,0)</f>
        <v>0.15</v>
      </c>
      <c r="HG6" s="50" t="n">
        <f aca="false">IF(HF6=0,0,HC6/SUM(HF$4:HF$10))</f>
        <v>0.15</v>
      </c>
      <c r="HH6" s="44"/>
      <c r="HI6" s="44"/>
      <c r="HJ6" s="44"/>
      <c r="HK6" s="44"/>
      <c r="HL6" s="45" t="str">
        <f aca="false">(IF(HO6="","◄",""))</f>
        <v>◄</v>
      </c>
      <c r="HM6" s="46" t="n">
        <v>0.15</v>
      </c>
      <c r="HN6" s="47" t="n">
        <f aca="false">(IF(HJ6&lt;&gt;"",1/2,0)+IF(HK6&lt;&gt;"",1,0))*HM6*HM$3*20</f>
        <v>0</v>
      </c>
      <c r="HO6" s="48" t="str">
        <f aca="false">IF(COUNTBLANK(HH6:HK6)=3,1,"")</f>
        <v/>
      </c>
      <c r="HP6" s="49" t="n">
        <f aca="false">IF(HH6="",HM6,0)</f>
        <v>0.15</v>
      </c>
      <c r="HQ6" s="50" t="n">
        <f aca="false">IF(HP6=0,0,HM6/SUM(HP$4:HP$10))</f>
        <v>0.15</v>
      </c>
      <c r="HR6" s="44"/>
      <c r="HS6" s="44"/>
      <c r="HT6" s="44"/>
      <c r="HU6" s="44"/>
      <c r="HV6" s="45" t="str">
        <f aca="false">(IF(HY6="","◄",""))</f>
        <v>◄</v>
      </c>
      <c r="HW6" s="46" t="n">
        <v>0.15</v>
      </c>
      <c r="HX6" s="47" t="n">
        <f aca="false">(IF(HT6&lt;&gt;"",1/2,0)+IF(HU6&lt;&gt;"",1,0))*HW6*HW$3*20</f>
        <v>0</v>
      </c>
      <c r="HY6" s="48" t="str">
        <f aca="false">IF(COUNTBLANK(HR6:HU6)=3,1,"")</f>
        <v/>
      </c>
      <c r="HZ6" s="49" t="n">
        <f aca="false">IF(HR6="",HW6,0)</f>
        <v>0.15</v>
      </c>
      <c r="IA6" s="50" t="n">
        <f aca="false">IF(HZ6=0,0,HW6/SUM(HZ$4:HZ$10))</f>
        <v>0.15</v>
      </c>
      <c r="IB6" s="44"/>
      <c r="IC6" s="44"/>
      <c r="ID6" s="44"/>
      <c r="IE6" s="44"/>
      <c r="IF6" s="45" t="str">
        <f aca="false">(IF(II6="","◄",""))</f>
        <v>◄</v>
      </c>
      <c r="IG6" s="46" t="n">
        <v>0.15</v>
      </c>
      <c r="IH6" s="47" t="n">
        <f aca="false">(IF(ID6&lt;&gt;"",1/2,0)+IF(IE6&lt;&gt;"",1,0))*IG6*IG$3*20</f>
        <v>0</v>
      </c>
      <c r="II6" s="48" t="str">
        <f aca="false">IF(COUNTBLANK(IB6:IE6)=3,1,"")</f>
        <v/>
      </c>
      <c r="IJ6" s="49" t="n">
        <f aca="false">IF(IB6="",IG6,0)</f>
        <v>0.15</v>
      </c>
      <c r="IK6" s="50" t="n">
        <f aca="false">IF(IJ6=0,0,IG6/SUM(IJ$4:IJ$10))</f>
        <v>0.15</v>
      </c>
    </row>
    <row r="7" s="51" customFormat="true" ht="49.5" hidden="false" customHeight="true" outlineLevel="0" collapsed="false">
      <c r="A7" s="39" t="n">
        <v>4</v>
      </c>
      <c r="B7" s="40" t="s">
        <v>20</v>
      </c>
      <c r="C7" s="55" t="n">
        <f aca="false">$AL$43</f>
        <v>0</v>
      </c>
      <c r="D7" s="56" t="s">
        <v>21</v>
      </c>
      <c r="E7" s="53" t="s">
        <v>22</v>
      </c>
      <c r="F7" s="44"/>
      <c r="G7" s="44"/>
      <c r="H7" s="44"/>
      <c r="I7" s="44"/>
      <c r="J7" s="45" t="str">
        <f aca="false">(IF(M7="","◄",""))</f>
        <v>◄</v>
      </c>
      <c r="K7" s="46" t="n">
        <v>0.15</v>
      </c>
      <c r="L7" s="47" t="n">
        <f aca="false">(IF(H7&lt;&gt;"",1/2,0)+IF(I7&lt;&gt;"",1,0))*K7*K$3*20</f>
        <v>0</v>
      </c>
      <c r="M7" s="48" t="str">
        <f aca="false">IF(COUNTBLANK(F7:I7)=3,1,"")</f>
        <v/>
      </c>
      <c r="N7" s="49" t="n">
        <f aca="false">IF(F7="",K7,0)</f>
        <v>0.15</v>
      </c>
      <c r="O7" s="50" t="n">
        <f aca="false">IF(N7=0,0,K7/SUM(N$4:N$10))</f>
        <v>0.15</v>
      </c>
      <c r="P7" s="44"/>
      <c r="Q7" s="44"/>
      <c r="R7" s="44"/>
      <c r="S7" s="44"/>
      <c r="T7" s="45" t="str">
        <f aca="false">(IF(W7="","◄",""))</f>
        <v>◄</v>
      </c>
      <c r="U7" s="46" t="n">
        <v>0.15</v>
      </c>
      <c r="V7" s="47" t="n">
        <f aca="false">(IF(R7&lt;&gt;"",1/2,0)+IF(S7&lt;&gt;"",1,0))*U7*U$3*20</f>
        <v>0</v>
      </c>
      <c r="W7" s="48" t="str">
        <f aca="false">IF(COUNTBLANK(P7:S7)=3,1,"")</f>
        <v/>
      </c>
      <c r="X7" s="49" t="n">
        <f aca="false">IF(P7="",U7,0)</f>
        <v>0.15</v>
      </c>
      <c r="Y7" s="50" t="n">
        <f aca="false">IF(X7=0,0,U7/SUM(X$4:X$10))</f>
        <v>0.15</v>
      </c>
      <c r="Z7" s="44"/>
      <c r="AA7" s="44"/>
      <c r="AB7" s="44"/>
      <c r="AC7" s="44"/>
      <c r="AD7" s="45" t="str">
        <f aca="false">(IF(AG7="","◄",""))</f>
        <v>◄</v>
      </c>
      <c r="AE7" s="46" t="n">
        <v>0.15</v>
      </c>
      <c r="AF7" s="47" t="n">
        <f aca="false">(IF(AB7&lt;&gt;"",1/2,0)+IF(AC7&lt;&gt;"",1,0))*AE7*AE$3*20</f>
        <v>0</v>
      </c>
      <c r="AG7" s="48" t="str">
        <f aca="false">IF(COUNTBLANK(Z7:AC7)=3,1,"")</f>
        <v/>
      </c>
      <c r="AH7" s="49" t="n">
        <f aca="false">IF(Z7="",AE7,0)</f>
        <v>0.15</v>
      </c>
      <c r="AI7" s="50" t="n">
        <f aca="false">IF(AH7=0,0,AE7/SUM(AH$4:AH$10))</f>
        <v>0.15</v>
      </c>
      <c r="AJ7" s="44"/>
      <c r="AK7" s="44"/>
      <c r="AL7" s="44"/>
      <c r="AM7" s="44"/>
      <c r="AN7" s="45" t="str">
        <f aca="false">(IF(AQ7="","◄",""))</f>
        <v>◄</v>
      </c>
      <c r="AO7" s="46" t="n">
        <v>0.15</v>
      </c>
      <c r="AP7" s="47" t="n">
        <f aca="false">(IF(AL7&lt;&gt;"",1/2,0)+IF(AM7&lt;&gt;"",1,0))*AO7*AO$3*20</f>
        <v>0</v>
      </c>
      <c r="AQ7" s="48" t="str">
        <f aca="false">IF(COUNTBLANK(AJ7:AM7)=3,1,"")</f>
        <v/>
      </c>
      <c r="AR7" s="49" t="n">
        <f aca="false">IF(AJ7="",AO7,0)</f>
        <v>0.15</v>
      </c>
      <c r="AS7" s="50" t="n">
        <f aca="false">IF(AR7=0,0,AO7/SUM(AR$4:AR$10))</f>
        <v>0.15</v>
      </c>
      <c r="AT7" s="44"/>
      <c r="AU7" s="44"/>
      <c r="AV7" s="44"/>
      <c r="AW7" s="44"/>
      <c r="AX7" s="45" t="str">
        <f aca="false">(IF(BA7="","◄",""))</f>
        <v>◄</v>
      </c>
      <c r="AY7" s="46" t="n">
        <v>0.15</v>
      </c>
      <c r="AZ7" s="47" t="n">
        <f aca="false">(IF(AV7&lt;&gt;"",1/2,0)+IF(AW7&lt;&gt;"",1,0))*AY7*AY$3*20</f>
        <v>0</v>
      </c>
      <c r="BA7" s="48" t="str">
        <f aca="false">IF(COUNTBLANK(AT7:AW7)=3,1,"")</f>
        <v/>
      </c>
      <c r="BB7" s="49" t="n">
        <f aca="false">IF(AT7="",AY7,0)</f>
        <v>0.15</v>
      </c>
      <c r="BC7" s="50" t="n">
        <f aca="false">IF(BB7=0,0,AY7/SUM(BB$4:BB$10))</f>
        <v>0.15</v>
      </c>
      <c r="BD7" s="44"/>
      <c r="BE7" s="44"/>
      <c r="BF7" s="44"/>
      <c r="BG7" s="44"/>
      <c r="BH7" s="45" t="str">
        <f aca="false">(IF(BK7="","◄",""))</f>
        <v>◄</v>
      </c>
      <c r="BI7" s="46" t="n">
        <v>0.15</v>
      </c>
      <c r="BJ7" s="47" t="n">
        <f aca="false">(IF(BF7&lt;&gt;"",1/2,0)+IF(BG7&lt;&gt;"",1,0))*BI7*BI$3*20</f>
        <v>0</v>
      </c>
      <c r="BK7" s="48" t="str">
        <f aca="false">IF(COUNTBLANK(BD7:BG7)=3,1,"")</f>
        <v/>
      </c>
      <c r="BL7" s="49" t="n">
        <f aca="false">IF(BD7="",BI7,0)</f>
        <v>0.15</v>
      </c>
      <c r="BM7" s="50" t="n">
        <f aca="false">IF(BL7=0,0,BI7/SUM(BL$4:BL$10))</f>
        <v>0.15</v>
      </c>
      <c r="BN7" s="44"/>
      <c r="BO7" s="44"/>
      <c r="BP7" s="44"/>
      <c r="BQ7" s="44"/>
      <c r="BR7" s="45" t="str">
        <f aca="false">(IF(BU7="","◄",""))</f>
        <v>◄</v>
      </c>
      <c r="BS7" s="46" t="n">
        <v>0.15</v>
      </c>
      <c r="BT7" s="47" t="n">
        <f aca="false">(IF(BP7&lt;&gt;"",1/2,0)+IF(BQ7&lt;&gt;"",1,0))*BS7*BS$3*20</f>
        <v>0</v>
      </c>
      <c r="BU7" s="48" t="str">
        <f aca="false">IF(COUNTBLANK(BN7:BQ7)=3,1,"")</f>
        <v/>
      </c>
      <c r="BV7" s="49" t="n">
        <f aca="false">IF(BN7="",BS7,0)</f>
        <v>0.15</v>
      </c>
      <c r="BW7" s="50" t="n">
        <f aca="false">IF(BV7=0,0,BS7/SUM(BV$4:BV$10))</f>
        <v>0.15</v>
      </c>
      <c r="BX7" s="44"/>
      <c r="BY7" s="44"/>
      <c r="BZ7" s="44"/>
      <c r="CA7" s="44"/>
      <c r="CB7" s="45" t="str">
        <f aca="false">(IF(CE7="","◄",""))</f>
        <v>◄</v>
      </c>
      <c r="CC7" s="46" t="n">
        <v>0.15</v>
      </c>
      <c r="CD7" s="47" t="n">
        <f aca="false">(IF(BZ7&lt;&gt;"",1/2,0)+IF(CA7&lt;&gt;"",1,0))*CC7*CC$3*20</f>
        <v>0</v>
      </c>
      <c r="CE7" s="48" t="str">
        <f aca="false">IF(COUNTBLANK(BX7:CA7)=3,1,"")</f>
        <v/>
      </c>
      <c r="CF7" s="49" t="n">
        <f aca="false">IF(BX7="",CC7,0)</f>
        <v>0.15</v>
      </c>
      <c r="CG7" s="50" t="n">
        <f aca="false">IF(CF7=0,0,CC7/SUM(CF$4:CF$10))</f>
        <v>0.15</v>
      </c>
      <c r="CH7" s="44"/>
      <c r="CI7" s="44"/>
      <c r="CJ7" s="44"/>
      <c r="CK7" s="44"/>
      <c r="CL7" s="45" t="str">
        <f aca="false">(IF(CO7="","◄",""))</f>
        <v>◄</v>
      </c>
      <c r="CM7" s="46" t="n">
        <v>0.15</v>
      </c>
      <c r="CN7" s="47" t="n">
        <f aca="false">(IF(CJ7&lt;&gt;"",1/2,0)+IF(CK7&lt;&gt;"",1,0))*CM7*CM$3*20</f>
        <v>0</v>
      </c>
      <c r="CO7" s="48" t="str">
        <f aca="false">IF(COUNTBLANK(CH7:CK7)=3,1,"")</f>
        <v/>
      </c>
      <c r="CP7" s="49" t="n">
        <f aca="false">IF(CH7="",CM7,0)</f>
        <v>0.15</v>
      </c>
      <c r="CQ7" s="50" t="n">
        <f aca="false">IF(CP7=0,0,CM7/SUM(CP$4:CP$10))</f>
        <v>0.15</v>
      </c>
      <c r="CR7" s="44"/>
      <c r="CS7" s="44"/>
      <c r="CT7" s="44"/>
      <c r="CU7" s="44"/>
      <c r="CV7" s="45" t="str">
        <f aca="false">(IF(CY7="","◄",""))</f>
        <v>◄</v>
      </c>
      <c r="CW7" s="46" t="n">
        <v>0.15</v>
      </c>
      <c r="CX7" s="47" t="n">
        <f aca="false">(IF(CT7&lt;&gt;"",1/2,0)+IF(CU7&lt;&gt;"",1,0))*CW7*CW$3*20</f>
        <v>0</v>
      </c>
      <c r="CY7" s="48" t="str">
        <f aca="false">IF(COUNTBLANK(CR7:CU7)=3,1,"")</f>
        <v/>
      </c>
      <c r="CZ7" s="49" t="n">
        <f aca="false">IF(CR7="",CW7,0)</f>
        <v>0.15</v>
      </c>
      <c r="DA7" s="50" t="n">
        <f aca="false">IF(CZ7=0,0,CW7/SUM(CZ$4:CZ$10))</f>
        <v>0.15</v>
      </c>
      <c r="DB7" s="44"/>
      <c r="DC7" s="44"/>
      <c r="DD7" s="44"/>
      <c r="DE7" s="44"/>
      <c r="DF7" s="45" t="str">
        <f aca="false">(IF(DI7="","◄",""))</f>
        <v>◄</v>
      </c>
      <c r="DG7" s="46" t="n">
        <v>0.15</v>
      </c>
      <c r="DH7" s="47" t="n">
        <f aca="false">(IF(DD7&lt;&gt;"",1/2,0)+IF(DE7&lt;&gt;"",1,0))*DG7*DG$3*20</f>
        <v>0</v>
      </c>
      <c r="DI7" s="48" t="str">
        <f aca="false">IF(COUNTBLANK(DB7:DE7)=3,1,"")</f>
        <v/>
      </c>
      <c r="DJ7" s="49" t="n">
        <f aca="false">IF(DB7="",DG7,0)</f>
        <v>0.15</v>
      </c>
      <c r="DK7" s="50" t="n">
        <f aca="false">IF(DJ7=0,0,DG7/SUM(DJ$4:DJ$10))</f>
        <v>0.15</v>
      </c>
      <c r="DL7" s="44"/>
      <c r="DM7" s="44"/>
      <c r="DN7" s="44"/>
      <c r="DO7" s="44"/>
      <c r="DP7" s="45" t="str">
        <f aca="false">(IF(DS7="","◄",""))</f>
        <v>◄</v>
      </c>
      <c r="DQ7" s="46" t="n">
        <v>0.15</v>
      </c>
      <c r="DR7" s="47" t="n">
        <f aca="false">(IF(DN7&lt;&gt;"",1/2,0)+IF(DO7&lt;&gt;"",1,0))*DQ7*DQ$3*20</f>
        <v>0</v>
      </c>
      <c r="DS7" s="48" t="str">
        <f aca="false">IF(COUNTBLANK(DL7:DO7)=3,1,"")</f>
        <v/>
      </c>
      <c r="DT7" s="49" t="n">
        <f aca="false">IF(DL7="",DQ7,0)</f>
        <v>0.15</v>
      </c>
      <c r="DU7" s="50" t="n">
        <f aca="false">IF(DT7=0,0,DQ7/SUM(DT$4:DT$10))</f>
        <v>0.15</v>
      </c>
      <c r="DV7" s="44"/>
      <c r="DW7" s="44"/>
      <c r="DX7" s="44"/>
      <c r="DY7" s="44"/>
      <c r="DZ7" s="45" t="str">
        <f aca="false">(IF(EC7="","◄",""))</f>
        <v>◄</v>
      </c>
      <c r="EA7" s="46" t="n">
        <v>0.15</v>
      </c>
      <c r="EB7" s="47" t="n">
        <f aca="false">(IF(DX7&lt;&gt;"",1/2,0)+IF(DY7&lt;&gt;"",1,0))*EA7*EA$3*20</f>
        <v>0</v>
      </c>
      <c r="EC7" s="48" t="str">
        <f aca="false">IF(COUNTBLANK(DV7:DY7)=3,1,"")</f>
        <v/>
      </c>
      <c r="ED7" s="49" t="n">
        <f aca="false">IF(DV7="",EA7,0)</f>
        <v>0.15</v>
      </c>
      <c r="EE7" s="50" t="n">
        <f aca="false">IF(ED7=0,0,EA7/SUM(ED$4:ED$10))</f>
        <v>0.15</v>
      </c>
      <c r="EF7" s="44"/>
      <c r="EG7" s="44"/>
      <c r="EH7" s="44"/>
      <c r="EI7" s="44"/>
      <c r="EJ7" s="45" t="str">
        <f aca="false">(IF(EM7="","◄",""))</f>
        <v>◄</v>
      </c>
      <c r="EK7" s="46" t="n">
        <v>0.15</v>
      </c>
      <c r="EL7" s="47" t="n">
        <f aca="false">(IF(EH7&lt;&gt;"",1/2,0)+IF(EI7&lt;&gt;"",1,0))*EK7*EK$3*20</f>
        <v>0</v>
      </c>
      <c r="EM7" s="48" t="str">
        <f aca="false">IF(COUNTBLANK(EF7:EI7)=3,1,"")</f>
        <v/>
      </c>
      <c r="EN7" s="49" t="n">
        <f aca="false">IF(EF7="",EK7,0)</f>
        <v>0.15</v>
      </c>
      <c r="EO7" s="50" t="n">
        <f aca="false">IF(EN7=0,0,EK7/SUM(EN$4:EN$10))</f>
        <v>0.15</v>
      </c>
      <c r="EP7" s="44"/>
      <c r="EQ7" s="44"/>
      <c r="ER7" s="44"/>
      <c r="ES7" s="44"/>
      <c r="ET7" s="45" t="str">
        <f aca="false">(IF(EW7="","◄",""))</f>
        <v>◄</v>
      </c>
      <c r="EU7" s="46" t="n">
        <v>0.15</v>
      </c>
      <c r="EV7" s="47" t="n">
        <f aca="false">(IF(ER7&lt;&gt;"",1/2,0)+IF(ES7&lt;&gt;"",1,0))*EU7*EU$3*20</f>
        <v>0</v>
      </c>
      <c r="EW7" s="48" t="str">
        <f aca="false">IF(COUNTBLANK(EP7:ES7)=3,1,"")</f>
        <v/>
      </c>
      <c r="EX7" s="49" t="n">
        <f aca="false">IF(EP7="",EU7,0)</f>
        <v>0.15</v>
      </c>
      <c r="EY7" s="50" t="n">
        <f aca="false">IF(EX7=0,0,EU7/SUM(EX$4:EX$10))</f>
        <v>0.15</v>
      </c>
      <c r="EZ7" s="44"/>
      <c r="FA7" s="44"/>
      <c r="FB7" s="44"/>
      <c r="FC7" s="44"/>
      <c r="FD7" s="45" t="str">
        <f aca="false">(IF(FG7="","◄",""))</f>
        <v>◄</v>
      </c>
      <c r="FE7" s="46" t="n">
        <v>0.15</v>
      </c>
      <c r="FF7" s="47" t="n">
        <f aca="false">(IF(FB7&lt;&gt;"",1/2,0)+IF(FC7&lt;&gt;"",1,0))*FE7*FE$3*20</f>
        <v>0</v>
      </c>
      <c r="FG7" s="48" t="str">
        <f aca="false">IF(COUNTBLANK(EZ7:FC7)=3,1,"")</f>
        <v/>
      </c>
      <c r="FH7" s="49" t="n">
        <f aca="false">IF(EZ7="",FE7,0)</f>
        <v>0.15</v>
      </c>
      <c r="FI7" s="50" t="n">
        <f aca="false">IF(FH7=0,0,FE7/SUM(FH$4:FH$10))</f>
        <v>0.15</v>
      </c>
      <c r="FJ7" s="44"/>
      <c r="FK7" s="44"/>
      <c r="FL7" s="44"/>
      <c r="FM7" s="44"/>
      <c r="FN7" s="45" t="str">
        <f aca="false">(IF(FQ7="","◄",""))</f>
        <v>◄</v>
      </c>
      <c r="FO7" s="46" t="n">
        <v>0.15</v>
      </c>
      <c r="FP7" s="47" t="n">
        <f aca="false">(IF(FL7&lt;&gt;"",1/2,0)+IF(FM7&lt;&gt;"",1,0))*FO7*FO$3*20</f>
        <v>0</v>
      </c>
      <c r="FQ7" s="48" t="str">
        <f aca="false">IF(COUNTBLANK(FJ7:FM7)=3,1,"")</f>
        <v/>
      </c>
      <c r="FR7" s="49" t="n">
        <f aca="false">IF(FJ7="",FO7,0)</f>
        <v>0.15</v>
      </c>
      <c r="FS7" s="50" t="n">
        <f aca="false">IF(FR7=0,0,FO7/SUM(FR$4:FR$10))</f>
        <v>0.15</v>
      </c>
      <c r="FT7" s="44"/>
      <c r="FU7" s="44"/>
      <c r="FV7" s="44"/>
      <c r="FW7" s="44"/>
      <c r="FX7" s="45" t="str">
        <f aca="false">(IF(GA7="","◄",""))</f>
        <v>◄</v>
      </c>
      <c r="FY7" s="46" t="n">
        <v>0.15</v>
      </c>
      <c r="FZ7" s="47" t="n">
        <f aca="false">(IF(FV7&lt;&gt;"",1/2,0)+IF(FW7&lt;&gt;"",1,0))*FY7*FY$3*20</f>
        <v>0</v>
      </c>
      <c r="GA7" s="48" t="str">
        <f aca="false">IF(COUNTBLANK(FT7:FW7)=3,1,"")</f>
        <v/>
      </c>
      <c r="GB7" s="49" t="n">
        <f aca="false">IF(FT7="",FY7,0)</f>
        <v>0.15</v>
      </c>
      <c r="GC7" s="50" t="n">
        <f aca="false">IF(GB7=0,0,FY7/SUM(GB$4:GB$10))</f>
        <v>0.15</v>
      </c>
      <c r="GD7" s="44"/>
      <c r="GE7" s="44"/>
      <c r="GF7" s="44"/>
      <c r="GG7" s="44"/>
      <c r="GH7" s="45" t="str">
        <f aca="false">(IF(GK7="","◄",""))</f>
        <v>◄</v>
      </c>
      <c r="GI7" s="46" t="n">
        <v>0.15</v>
      </c>
      <c r="GJ7" s="47" t="n">
        <f aca="false">(IF(GF7&lt;&gt;"",1/2,0)+IF(GG7&lt;&gt;"",1,0))*GI7*GI$3*20</f>
        <v>0</v>
      </c>
      <c r="GK7" s="48" t="str">
        <f aca="false">IF(COUNTBLANK(GD7:GG7)=3,1,"")</f>
        <v/>
      </c>
      <c r="GL7" s="49" t="n">
        <f aca="false">IF(GD7="",GI7,0)</f>
        <v>0.15</v>
      </c>
      <c r="GM7" s="50" t="n">
        <f aca="false">IF(GL7=0,0,GI7/SUM(GL$4:GL$10))</f>
        <v>0.15</v>
      </c>
      <c r="GN7" s="44"/>
      <c r="GO7" s="44"/>
      <c r="GP7" s="44"/>
      <c r="GQ7" s="44"/>
      <c r="GR7" s="45" t="str">
        <f aca="false">(IF(GU7="","◄",""))</f>
        <v>◄</v>
      </c>
      <c r="GS7" s="46" t="n">
        <v>0.15</v>
      </c>
      <c r="GT7" s="47" t="n">
        <f aca="false">(IF(GP7&lt;&gt;"",1/2,0)+IF(GQ7&lt;&gt;"",1,0))*GS7*GS$3*20</f>
        <v>0</v>
      </c>
      <c r="GU7" s="48" t="str">
        <f aca="false">IF(COUNTBLANK(GN7:GQ7)=3,1,"")</f>
        <v/>
      </c>
      <c r="GV7" s="49" t="n">
        <f aca="false">IF(GN7="",GS7,0)</f>
        <v>0.15</v>
      </c>
      <c r="GW7" s="50" t="n">
        <f aca="false">IF(GV7=0,0,GS7/SUM(GV$4:GV$10))</f>
        <v>0.15</v>
      </c>
      <c r="GX7" s="44"/>
      <c r="GY7" s="44"/>
      <c r="GZ7" s="44"/>
      <c r="HA7" s="44"/>
      <c r="HB7" s="45" t="str">
        <f aca="false">(IF(HE7="","◄",""))</f>
        <v>◄</v>
      </c>
      <c r="HC7" s="46" t="n">
        <v>0.15</v>
      </c>
      <c r="HD7" s="47" t="n">
        <f aca="false">(IF(GZ7&lt;&gt;"",1/2,0)+IF(HA7&lt;&gt;"",1,0))*HC7*HC$3*20</f>
        <v>0</v>
      </c>
      <c r="HE7" s="48" t="str">
        <f aca="false">IF(COUNTBLANK(GX7:HA7)=3,1,"")</f>
        <v/>
      </c>
      <c r="HF7" s="49" t="n">
        <f aca="false">IF(GX7="",HC7,0)</f>
        <v>0.15</v>
      </c>
      <c r="HG7" s="50" t="n">
        <f aca="false">IF(HF7=0,0,HC7/SUM(HF$4:HF$10))</f>
        <v>0.15</v>
      </c>
      <c r="HH7" s="44"/>
      <c r="HI7" s="44"/>
      <c r="HJ7" s="44"/>
      <c r="HK7" s="44"/>
      <c r="HL7" s="45" t="str">
        <f aca="false">(IF(HO7="","◄",""))</f>
        <v>◄</v>
      </c>
      <c r="HM7" s="46" t="n">
        <v>0.15</v>
      </c>
      <c r="HN7" s="47" t="n">
        <f aca="false">(IF(HJ7&lt;&gt;"",1/2,0)+IF(HK7&lt;&gt;"",1,0))*HM7*HM$3*20</f>
        <v>0</v>
      </c>
      <c r="HO7" s="48" t="str">
        <f aca="false">IF(COUNTBLANK(HH7:HK7)=3,1,"")</f>
        <v/>
      </c>
      <c r="HP7" s="49" t="n">
        <f aca="false">IF(HH7="",HM7,0)</f>
        <v>0.15</v>
      </c>
      <c r="HQ7" s="50" t="n">
        <f aca="false">IF(HP7=0,0,HM7/SUM(HP$4:HP$10))</f>
        <v>0.15</v>
      </c>
      <c r="HR7" s="44"/>
      <c r="HS7" s="44"/>
      <c r="HT7" s="44"/>
      <c r="HU7" s="44"/>
      <c r="HV7" s="45" t="str">
        <f aca="false">(IF(HY7="","◄",""))</f>
        <v>◄</v>
      </c>
      <c r="HW7" s="46" t="n">
        <v>0.15</v>
      </c>
      <c r="HX7" s="47" t="n">
        <f aca="false">(IF(HT7&lt;&gt;"",1/2,0)+IF(HU7&lt;&gt;"",1,0))*HW7*HW$3*20</f>
        <v>0</v>
      </c>
      <c r="HY7" s="48" t="str">
        <f aca="false">IF(COUNTBLANK(HR7:HU7)=3,1,"")</f>
        <v/>
      </c>
      <c r="HZ7" s="49" t="n">
        <f aca="false">IF(HR7="",HW7,0)</f>
        <v>0.15</v>
      </c>
      <c r="IA7" s="50" t="n">
        <f aca="false">IF(HZ7=0,0,HW7/SUM(HZ$4:HZ$10))</f>
        <v>0.15</v>
      </c>
      <c r="IB7" s="44"/>
      <c r="IC7" s="44"/>
      <c r="ID7" s="44"/>
      <c r="IE7" s="44"/>
      <c r="IF7" s="45" t="str">
        <f aca="false">(IF(II7="","◄",""))</f>
        <v>◄</v>
      </c>
      <c r="IG7" s="46" t="n">
        <v>0.15</v>
      </c>
      <c r="IH7" s="47" t="n">
        <f aca="false">(IF(ID7&lt;&gt;"",1/2,0)+IF(IE7&lt;&gt;"",1,0))*IG7*IG$3*20</f>
        <v>0</v>
      </c>
      <c r="II7" s="48" t="str">
        <f aca="false">IF(COUNTBLANK(IB7:IE7)=3,1,"")</f>
        <v/>
      </c>
      <c r="IJ7" s="49" t="n">
        <f aca="false">IF(IB7="",IG7,0)</f>
        <v>0.15</v>
      </c>
      <c r="IK7" s="50" t="n">
        <f aca="false">IF(IJ7=0,0,IG7/SUM(IJ$4:IJ$10))</f>
        <v>0.15</v>
      </c>
    </row>
    <row r="8" s="51" customFormat="true" ht="49.5" hidden="false" customHeight="true" outlineLevel="0" collapsed="false">
      <c r="A8" s="39" t="n">
        <v>5</v>
      </c>
      <c r="B8" s="40" t="s">
        <v>23</v>
      </c>
      <c r="C8" s="55" t="n">
        <f aca="false">$AV$43</f>
        <v>0</v>
      </c>
      <c r="D8" s="56"/>
      <c r="E8" s="53" t="s">
        <v>24</v>
      </c>
      <c r="F8" s="44"/>
      <c r="G8" s="44"/>
      <c r="H8" s="44"/>
      <c r="I8" s="44"/>
      <c r="J8" s="45" t="str">
        <f aca="false">(IF(M8="","◄",""))</f>
        <v>◄</v>
      </c>
      <c r="K8" s="46" t="n">
        <v>0.15</v>
      </c>
      <c r="L8" s="47" t="n">
        <f aca="false">(IF(H8&lt;&gt;"",1/2,0)+IF(I8&lt;&gt;"",1,0))*K8*K$3*20</f>
        <v>0</v>
      </c>
      <c r="M8" s="48" t="str">
        <f aca="false">IF(COUNTBLANK(F8:I8)=3,1,"")</f>
        <v/>
      </c>
      <c r="N8" s="49" t="n">
        <f aca="false">IF(F8="",K8,0)</f>
        <v>0.15</v>
      </c>
      <c r="O8" s="50" t="n">
        <f aca="false">IF(N8=0,0,K8/SUM(N$4:N$10))</f>
        <v>0.15</v>
      </c>
      <c r="P8" s="44"/>
      <c r="Q8" s="44"/>
      <c r="R8" s="44"/>
      <c r="S8" s="44"/>
      <c r="T8" s="45" t="str">
        <f aca="false">(IF(W8="","◄",""))</f>
        <v>◄</v>
      </c>
      <c r="U8" s="46" t="n">
        <v>0.15</v>
      </c>
      <c r="V8" s="47" t="n">
        <f aca="false">(IF(R8&lt;&gt;"",1/2,0)+IF(S8&lt;&gt;"",1,0))*U8*U$3*20</f>
        <v>0</v>
      </c>
      <c r="W8" s="48" t="str">
        <f aca="false">IF(COUNTBLANK(P8:S8)=3,1,"")</f>
        <v/>
      </c>
      <c r="X8" s="49" t="n">
        <f aca="false">IF(P8="",U8,0)</f>
        <v>0.15</v>
      </c>
      <c r="Y8" s="50" t="n">
        <f aca="false">IF(X8=0,0,U8/SUM(X$4:X$10))</f>
        <v>0.15</v>
      </c>
      <c r="Z8" s="44"/>
      <c r="AA8" s="44"/>
      <c r="AB8" s="44"/>
      <c r="AC8" s="44"/>
      <c r="AD8" s="45" t="str">
        <f aca="false">(IF(AG8="","◄",""))</f>
        <v>◄</v>
      </c>
      <c r="AE8" s="46" t="n">
        <v>0.15</v>
      </c>
      <c r="AF8" s="47" t="n">
        <f aca="false">(IF(AB8&lt;&gt;"",1/2,0)+IF(AC8&lt;&gt;"",1,0))*AE8*AE$3*20</f>
        <v>0</v>
      </c>
      <c r="AG8" s="48" t="str">
        <f aca="false">IF(COUNTBLANK(Z8:AC8)=3,1,"")</f>
        <v/>
      </c>
      <c r="AH8" s="49" t="n">
        <f aca="false">IF(Z8="",AE8,0)</f>
        <v>0.15</v>
      </c>
      <c r="AI8" s="50" t="n">
        <f aca="false">IF(AH8=0,0,AE8/SUM(AH$4:AH$10))</f>
        <v>0.15</v>
      </c>
      <c r="AJ8" s="44"/>
      <c r="AK8" s="44"/>
      <c r="AL8" s="44"/>
      <c r="AM8" s="44"/>
      <c r="AN8" s="45" t="str">
        <f aca="false">(IF(AQ8="","◄",""))</f>
        <v>◄</v>
      </c>
      <c r="AO8" s="46" t="n">
        <v>0.15</v>
      </c>
      <c r="AP8" s="47" t="n">
        <f aca="false">(IF(AL8&lt;&gt;"",1/2,0)+IF(AM8&lt;&gt;"",1,0))*AO8*AO$3*20</f>
        <v>0</v>
      </c>
      <c r="AQ8" s="48" t="str">
        <f aca="false">IF(COUNTBLANK(AJ8:AM8)=3,1,"")</f>
        <v/>
      </c>
      <c r="AR8" s="49" t="n">
        <f aca="false">IF(AJ8="",AO8,0)</f>
        <v>0.15</v>
      </c>
      <c r="AS8" s="50" t="n">
        <f aca="false">IF(AR8=0,0,AO8/SUM(AR$4:AR$10))</f>
        <v>0.15</v>
      </c>
      <c r="AT8" s="44"/>
      <c r="AU8" s="44"/>
      <c r="AV8" s="44"/>
      <c r="AW8" s="44"/>
      <c r="AX8" s="45" t="str">
        <f aca="false">(IF(BA8="","◄",""))</f>
        <v>◄</v>
      </c>
      <c r="AY8" s="46" t="n">
        <v>0.15</v>
      </c>
      <c r="AZ8" s="47" t="n">
        <f aca="false">(IF(AV8&lt;&gt;"",1/2,0)+IF(AW8&lt;&gt;"",1,0))*AY8*AY$3*20</f>
        <v>0</v>
      </c>
      <c r="BA8" s="48" t="str">
        <f aca="false">IF(COUNTBLANK(AT8:AW8)=3,1,"")</f>
        <v/>
      </c>
      <c r="BB8" s="49" t="n">
        <f aca="false">IF(AT8="",AY8,0)</f>
        <v>0.15</v>
      </c>
      <c r="BC8" s="50" t="n">
        <f aca="false">IF(BB8=0,0,AY8/SUM(BB$4:BB$10))</f>
        <v>0.15</v>
      </c>
      <c r="BD8" s="44"/>
      <c r="BE8" s="44"/>
      <c r="BF8" s="44"/>
      <c r="BG8" s="44"/>
      <c r="BH8" s="45" t="str">
        <f aca="false">(IF(BK8="","◄",""))</f>
        <v>◄</v>
      </c>
      <c r="BI8" s="46" t="n">
        <v>0.15</v>
      </c>
      <c r="BJ8" s="47" t="n">
        <f aca="false">(IF(BF8&lt;&gt;"",1/2,0)+IF(BG8&lt;&gt;"",1,0))*BI8*BI$3*20</f>
        <v>0</v>
      </c>
      <c r="BK8" s="48" t="str">
        <f aca="false">IF(COUNTBLANK(BD8:BG8)=3,1,"")</f>
        <v/>
      </c>
      <c r="BL8" s="49" t="n">
        <f aca="false">IF(BD8="",BI8,0)</f>
        <v>0.15</v>
      </c>
      <c r="BM8" s="50" t="n">
        <f aca="false">IF(BL8=0,0,BI8/SUM(BL$4:BL$10))</f>
        <v>0.15</v>
      </c>
      <c r="BN8" s="44"/>
      <c r="BO8" s="44"/>
      <c r="BP8" s="44"/>
      <c r="BQ8" s="44"/>
      <c r="BR8" s="45" t="str">
        <f aca="false">(IF(BU8="","◄",""))</f>
        <v>◄</v>
      </c>
      <c r="BS8" s="46" t="n">
        <v>0.15</v>
      </c>
      <c r="BT8" s="47" t="n">
        <f aca="false">(IF(BP8&lt;&gt;"",1/2,0)+IF(BQ8&lt;&gt;"",1,0))*BS8*BS$3*20</f>
        <v>0</v>
      </c>
      <c r="BU8" s="48" t="str">
        <f aca="false">IF(COUNTBLANK(BN8:BQ8)=3,1,"")</f>
        <v/>
      </c>
      <c r="BV8" s="49" t="n">
        <f aca="false">IF(BN8="",BS8,0)</f>
        <v>0.15</v>
      </c>
      <c r="BW8" s="50" t="n">
        <f aca="false">IF(BV8=0,0,BS8/SUM(BV$4:BV$10))</f>
        <v>0.15</v>
      </c>
      <c r="BX8" s="44"/>
      <c r="BY8" s="44"/>
      <c r="BZ8" s="44"/>
      <c r="CA8" s="44"/>
      <c r="CB8" s="45" t="str">
        <f aca="false">(IF(CE8="","◄",""))</f>
        <v>◄</v>
      </c>
      <c r="CC8" s="46" t="n">
        <v>0.15</v>
      </c>
      <c r="CD8" s="47" t="n">
        <f aca="false">(IF(BZ8&lt;&gt;"",1/2,0)+IF(CA8&lt;&gt;"",1,0))*CC8*CC$3*20</f>
        <v>0</v>
      </c>
      <c r="CE8" s="48" t="str">
        <f aca="false">IF(COUNTBLANK(BX8:CA8)=3,1,"")</f>
        <v/>
      </c>
      <c r="CF8" s="49" t="n">
        <f aca="false">IF(BX8="",CC8,0)</f>
        <v>0.15</v>
      </c>
      <c r="CG8" s="50" t="n">
        <f aca="false">IF(CF8=0,0,CC8/SUM(CF$4:CF$10))</f>
        <v>0.15</v>
      </c>
      <c r="CH8" s="44"/>
      <c r="CI8" s="44"/>
      <c r="CJ8" s="44"/>
      <c r="CK8" s="44"/>
      <c r="CL8" s="45" t="str">
        <f aca="false">(IF(CO8="","◄",""))</f>
        <v>◄</v>
      </c>
      <c r="CM8" s="46" t="n">
        <v>0.15</v>
      </c>
      <c r="CN8" s="47" t="n">
        <f aca="false">(IF(CJ8&lt;&gt;"",1/2,0)+IF(CK8&lt;&gt;"",1,0))*CM8*CM$3*20</f>
        <v>0</v>
      </c>
      <c r="CO8" s="48" t="str">
        <f aca="false">IF(COUNTBLANK(CH8:CK8)=3,1,"")</f>
        <v/>
      </c>
      <c r="CP8" s="49" t="n">
        <f aca="false">IF(CH8="",CM8,0)</f>
        <v>0.15</v>
      </c>
      <c r="CQ8" s="50" t="n">
        <f aca="false">IF(CP8=0,0,CM8/SUM(CP$4:CP$10))</f>
        <v>0.15</v>
      </c>
      <c r="CR8" s="44"/>
      <c r="CS8" s="44"/>
      <c r="CT8" s="44"/>
      <c r="CU8" s="44"/>
      <c r="CV8" s="45" t="str">
        <f aca="false">(IF(CY8="","◄",""))</f>
        <v>◄</v>
      </c>
      <c r="CW8" s="46" t="n">
        <v>0.15</v>
      </c>
      <c r="CX8" s="47" t="n">
        <f aca="false">(IF(CT8&lt;&gt;"",1/2,0)+IF(CU8&lt;&gt;"",1,0))*CW8*CW$3*20</f>
        <v>0</v>
      </c>
      <c r="CY8" s="48" t="str">
        <f aca="false">IF(COUNTBLANK(CR8:CU8)=3,1,"")</f>
        <v/>
      </c>
      <c r="CZ8" s="49" t="n">
        <f aca="false">IF(CR8="",CW8,0)</f>
        <v>0.15</v>
      </c>
      <c r="DA8" s="50" t="n">
        <f aca="false">IF(CZ8=0,0,CW8/SUM(CZ$4:CZ$10))</f>
        <v>0.15</v>
      </c>
      <c r="DB8" s="44"/>
      <c r="DC8" s="44"/>
      <c r="DD8" s="44"/>
      <c r="DE8" s="44"/>
      <c r="DF8" s="45" t="str">
        <f aca="false">(IF(DI8="","◄",""))</f>
        <v>◄</v>
      </c>
      <c r="DG8" s="46" t="n">
        <v>0.15</v>
      </c>
      <c r="DH8" s="47" t="n">
        <f aca="false">(IF(DD8&lt;&gt;"",1/2,0)+IF(DE8&lt;&gt;"",1,0))*DG8*DG$3*20</f>
        <v>0</v>
      </c>
      <c r="DI8" s="48" t="str">
        <f aca="false">IF(COUNTBLANK(DB8:DE8)=3,1,"")</f>
        <v/>
      </c>
      <c r="DJ8" s="49" t="n">
        <f aca="false">IF(DB8="",DG8,0)</f>
        <v>0.15</v>
      </c>
      <c r="DK8" s="50" t="n">
        <f aca="false">IF(DJ8=0,0,DG8/SUM(DJ$4:DJ$10))</f>
        <v>0.15</v>
      </c>
      <c r="DL8" s="44"/>
      <c r="DM8" s="44"/>
      <c r="DN8" s="44"/>
      <c r="DO8" s="44"/>
      <c r="DP8" s="45" t="str">
        <f aca="false">(IF(DS8="","◄",""))</f>
        <v>◄</v>
      </c>
      <c r="DQ8" s="46" t="n">
        <v>0.15</v>
      </c>
      <c r="DR8" s="47" t="n">
        <f aca="false">(IF(DN8&lt;&gt;"",1/2,0)+IF(DO8&lt;&gt;"",1,0))*DQ8*DQ$3*20</f>
        <v>0</v>
      </c>
      <c r="DS8" s="48" t="str">
        <f aca="false">IF(COUNTBLANK(DL8:DO8)=3,1,"")</f>
        <v/>
      </c>
      <c r="DT8" s="49" t="n">
        <f aca="false">IF(DL8="",DQ8,0)</f>
        <v>0.15</v>
      </c>
      <c r="DU8" s="50" t="n">
        <f aca="false">IF(DT8=0,0,DQ8/SUM(DT$4:DT$10))</f>
        <v>0.15</v>
      </c>
      <c r="DV8" s="44"/>
      <c r="DW8" s="44"/>
      <c r="DX8" s="44"/>
      <c r="DY8" s="44"/>
      <c r="DZ8" s="45" t="str">
        <f aca="false">(IF(EC8="","◄",""))</f>
        <v>◄</v>
      </c>
      <c r="EA8" s="46" t="n">
        <v>0.15</v>
      </c>
      <c r="EB8" s="47" t="n">
        <f aca="false">(IF(DX8&lt;&gt;"",1/2,0)+IF(DY8&lt;&gt;"",1,0))*EA8*EA$3*20</f>
        <v>0</v>
      </c>
      <c r="EC8" s="48" t="str">
        <f aca="false">IF(COUNTBLANK(DV8:DY8)=3,1,"")</f>
        <v/>
      </c>
      <c r="ED8" s="49" t="n">
        <f aca="false">IF(DV8="",EA8,0)</f>
        <v>0.15</v>
      </c>
      <c r="EE8" s="50" t="n">
        <f aca="false">IF(ED8=0,0,EA8/SUM(ED$4:ED$10))</f>
        <v>0.15</v>
      </c>
      <c r="EF8" s="44"/>
      <c r="EG8" s="44"/>
      <c r="EH8" s="44"/>
      <c r="EI8" s="44"/>
      <c r="EJ8" s="45" t="str">
        <f aca="false">(IF(EM8="","◄",""))</f>
        <v>◄</v>
      </c>
      <c r="EK8" s="46" t="n">
        <v>0.15</v>
      </c>
      <c r="EL8" s="47" t="n">
        <f aca="false">(IF(EH8&lt;&gt;"",1/2,0)+IF(EI8&lt;&gt;"",1,0))*EK8*EK$3*20</f>
        <v>0</v>
      </c>
      <c r="EM8" s="48" t="str">
        <f aca="false">IF(COUNTBLANK(EF8:EI8)=3,1,"")</f>
        <v/>
      </c>
      <c r="EN8" s="49" t="n">
        <f aca="false">IF(EF8="",EK8,0)</f>
        <v>0.15</v>
      </c>
      <c r="EO8" s="50" t="n">
        <f aca="false">IF(EN8=0,0,EK8/SUM(EN$4:EN$10))</f>
        <v>0.15</v>
      </c>
      <c r="EP8" s="44"/>
      <c r="EQ8" s="44"/>
      <c r="ER8" s="44"/>
      <c r="ES8" s="44"/>
      <c r="ET8" s="45" t="str">
        <f aca="false">(IF(EW8="","◄",""))</f>
        <v>◄</v>
      </c>
      <c r="EU8" s="46" t="n">
        <v>0.15</v>
      </c>
      <c r="EV8" s="47" t="n">
        <f aca="false">(IF(ER8&lt;&gt;"",1/2,0)+IF(ES8&lt;&gt;"",1,0))*EU8*EU$3*20</f>
        <v>0</v>
      </c>
      <c r="EW8" s="48" t="str">
        <f aca="false">IF(COUNTBLANK(EP8:ES8)=3,1,"")</f>
        <v/>
      </c>
      <c r="EX8" s="49" t="n">
        <f aca="false">IF(EP8="",EU8,0)</f>
        <v>0.15</v>
      </c>
      <c r="EY8" s="50" t="n">
        <f aca="false">IF(EX8=0,0,EU8/SUM(EX$4:EX$10))</f>
        <v>0.15</v>
      </c>
      <c r="EZ8" s="44"/>
      <c r="FA8" s="44"/>
      <c r="FB8" s="44"/>
      <c r="FC8" s="44"/>
      <c r="FD8" s="45" t="str">
        <f aca="false">(IF(FG8="","◄",""))</f>
        <v>◄</v>
      </c>
      <c r="FE8" s="46" t="n">
        <v>0.15</v>
      </c>
      <c r="FF8" s="47" t="n">
        <f aca="false">(IF(FB8&lt;&gt;"",1/2,0)+IF(FC8&lt;&gt;"",1,0))*FE8*FE$3*20</f>
        <v>0</v>
      </c>
      <c r="FG8" s="48" t="str">
        <f aca="false">IF(COUNTBLANK(EZ8:FC8)=3,1,"")</f>
        <v/>
      </c>
      <c r="FH8" s="49" t="n">
        <f aca="false">IF(EZ8="",FE8,0)</f>
        <v>0.15</v>
      </c>
      <c r="FI8" s="50" t="n">
        <f aca="false">IF(FH8=0,0,FE8/SUM(FH$4:FH$10))</f>
        <v>0.15</v>
      </c>
      <c r="FJ8" s="44"/>
      <c r="FK8" s="44"/>
      <c r="FL8" s="44"/>
      <c r="FM8" s="44"/>
      <c r="FN8" s="45" t="str">
        <f aca="false">(IF(FQ8="","◄",""))</f>
        <v>◄</v>
      </c>
      <c r="FO8" s="46" t="n">
        <v>0.15</v>
      </c>
      <c r="FP8" s="47" t="n">
        <f aca="false">(IF(FL8&lt;&gt;"",1/2,0)+IF(FM8&lt;&gt;"",1,0))*FO8*FO$3*20</f>
        <v>0</v>
      </c>
      <c r="FQ8" s="48" t="str">
        <f aca="false">IF(COUNTBLANK(FJ8:FM8)=3,1,"")</f>
        <v/>
      </c>
      <c r="FR8" s="49" t="n">
        <f aca="false">IF(FJ8="",FO8,0)</f>
        <v>0.15</v>
      </c>
      <c r="FS8" s="50" t="n">
        <f aca="false">IF(FR8=0,0,FO8/SUM(FR$4:FR$10))</f>
        <v>0.15</v>
      </c>
      <c r="FT8" s="44"/>
      <c r="FU8" s="44"/>
      <c r="FV8" s="44"/>
      <c r="FW8" s="44"/>
      <c r="FX8" s="45" t="str">
        <f aca="false">(IF(GA8="","◄",""))</f>
        <v>◄</v>
      </c>
      <c r="FY8" s="46" t="n">
        <v>0.15</v>
      </c>
      <c r="FZ8" s="47" t="n">
        <f aca="false">(IF(FV8&lt;&gt;"",1/2,0)+IF(FW8&lt;&gt;"",1,0))*FY8*FY$3*20</f>
        <v>0</v>
      </c>
      <c r="GA8" s="48" t="str">
        <f aca="false">IF(COUNTBLANK(FT8:FW8)=3,1,"")</f>
        <v/>
      </c>
      <c r="GB8" s="49" t="n">
        <f aca="false">IF(FT8="",FY8,0)</f>
        <v>0.15</v>
      </c>
      <c r="GC8" s="50" t="n">
        <f aca="false">IF(GB8=0,0,FY8/SUM(GB$4:GB$10))</f>
        <v>0.15</v>
      </c>
      <c r="GD8" s="44"/>
      <c r="GE8" s="44"/>
      <c r="GF8" s="44"/>
      <c r="GG8" s="44"/>
      <c r="GH8" s="45" t="str">
        <f aca="false">(IF(GK8="","◄",""))</f>
        <v>◄</v>
      </c>
      <c r="GI8" s="46" t="n">
        <v>0.15</v>
      </c>
      <c r="GJ8" s="47" t="n">
        <f aca="false">(IF(GF8&lt;&gt;"",1/2,0)+IF(GG8&lt;&gt;"",1,0))*GI8*GI$3*20</f>
        <v>0</v>
      </c>
      <c r="GK8" s="48" t="str">
        <f aca="false">IF(COUNTBLANK(GD8:GG8)=3,1,"")</f>
        <v/>
      </c>
      <c r="GL8" s="49" t="n">
        <f aca="false">IF(GD8="",GI8,0)</f>
        <v>0.15</v>
      </c>
      <c r="GM8" s="50" t="n">
        <f aca="false">IF(GL8=0,0,GI8/SUM(GL$4:GL$10))</f>
        <v>0.15</v>
      </c>
      <c r="GN8" s="44"/>
      <c r="GO8" s="44"/>
      <c r="GP8" s="44"/>
      <c r="GQ8" s="44"/>
      <c r="GR8" s="45" t="str">
        <f aca="false">(IF(GU8="","◄",""))</f>
        <v>◄</v>
      </c>
      <c r="GS8" s="46" t="n">
        <v>0.15</v>
      </c>
      <c r="GT8" s="47" t="n">
        <f aca="false">(IF(GP8&lt;&gt;"",1/2,0)+IF(GQ8&lt;&gt;"",1,0))*GS8*GS$3*20</f>
        <v>0</v>
      </c>
      <c r="GU8" s="48" t="str">
        <f aca="false">IF(COUNTBLANK(GN8:GQ8)=3,1,"")</f>
        <v/>
      </c>
      <c r="GV8" s="49" t="n">
        <f aca="false">IF(GN8="",GS8,0)</f>
        <v>0.15</v>
      </c>
      <c r="GW8" s="50" t="n">
        <f aca="false">IF(GV8=0,0,GS8/SUM(GV$4:GV$10))</f>
        <v>0.15</v>
      </c>
      <c r="GX8" s="44"/>
      <c r="GY8" s="44"/>
      <c r="GZ8" s="44"/>
      <c r="HA8" s="44"/>
      <c r="HB8" s="45" t="str">
        <f aca="false">(IF(HE8="","◄",""))</f>
        <v>◄</v>
      </c>
      <c r="HC8" s="46" t="n">
        <v>0.15</v>
      </c>
      <c r="HD8" s="47" t="n">
        <f aca="false">(IF(GZ8&lt;&gt;"",1/2,0)+IF(HA8&lt;&gt;"",1,0))*HC8*HC$3*20</f>
        <v>0</v>
      </c>
      <c r="HE8" s="48" t="str">
        <f aca="false">IF(COUNTBLANK(GX8:HA8)=3,1,"")</f>
        <v/>
      </c>
      <c r="HF8" s="49" t="n">
        <f aca="false">IF(GX8="",HC8,0)</f>
        <v>0.15</v>
      </c>
      <c r="HG8" s="50" t="n">
        <f aca="false">IF(HF8=0,0,HC8/SUM(HF$4:HF$10))</f>
        <v>0.15</v>
      </c>
      <c r="HH8" s="44"/>
      <c r="HI8" s="44"/>
      <c r="HJ8" s="44"/>
      <c r="HK8" s="44"/>
      <c r="HL8" s="45" t="str">
        <f aca="false">(IF(HO8="","◄",""))</f>
        <v>◄</v>
      </c>
      <c r="HM8" s="46" t="n">
        <v>0.15</v>
      </c>
      <c r="HN8" s="47" t="n">
        <f aca="false">(IF(HJ8&lt;&gt;"",1/2,0)+IF(HK8&lt;&gt;"",1,0))*HM8*HM$3*20</f>
        <v>0</v>
      </c>
      <c r="HO8" s="48" t="str">
        <f aca="false">IF(COUNTBLANK(HH8:HK8)=3,1,"")</f>
        <v/>
      </c>
      <c r="HP8" s="49" t="n">
        <f aca="false">IF(HH8="",HM8,0)</f>
        <v>0.15</v>
      </c>
      <c r="HQ8" s="50" t="n">
        <f aca="false">IF(HP8=0,0,HM8/SUM(HP$4:HP$10))</f>
        <v>0.15</v>
      </c>
      <c r="HR8" s="44"/>
      <c r="HS8" s="44"/>
      <c r="HT8" s="44"/>
      <c r="HU8" s="44"/>
      <c r="HV8" s="45" t="str">
        <f aca="false">(IF(HY8="","◄",""))</f>
        <v>◄</v>
      </c>
      <c r="HW8" s="46" t="n">
        <v>0.15</v>
      </c>
      <c r="HX8" s="47" t="n">
        <f aca="false">(IF(HT8&lt;&gt;"",1/2,0)+IF(HU8&lt;&gt;"",1,0))*HW8*HW$3*20</f>
        <v>0</v>
      </c>
      <c r="HY8" s="48" t="str">
        <f aca="false">IF(COUNTBLANK(HR8:HU8)=3,1,"")</f>
        <v/>
      </c>
      <c r="HZ8" s="49" t="n">
        <f aca="false">IF(HR8="",HW8,0)</f>
        <v>0.15</v>
      </c>
      <c r="IA8" s="50" t="n">
        <f aca="false">IF(HZ8=0,0,HW8/SUM(HZ$4:HZ$10))</f>
        <v>0.15</v>
      </c>
      <c r="IB8" s="44"/>
      <c r="IC8" s="44"/>
      <c r="ID8" s="44"/>
      <c r="IE8" s="44"/>
      <c r="IF8" s="45" t="str">
        <f aca="false">(IF(II8="","◄",""))</f>
        <v>◄</v>
      </c>
      <c r="IG8" s="46" t="n">
        <v>0.15</v>
      </c>
      <c r="IH8" s="47" t="n">
        <f aca="false">(IF(ID8&lt;&gt;"",1/2,0)+IF(IE8&lt;&gt;"",1,0))*IG8*IG$3*20</f>
        <v>0</v>
      </c>
      <c r="II8" s="48" t="str">
        <f aca="false">IF(COUNTBLANK(IB8:IE8)=3,1,"")</f>
        <v/>
      </c>
      <c r="IJ8" s="49" t="n">
        <f aca="false">IF(IB8="",IG8,0)</f>
        <v>0.15</v>
      </c>
      <c r="IK8" s="50" t="n">
        <f aca="false">IF(IJ8=0,0,IG8/SUM(IJ$4:IJ$10))</f>
        <v>0.15</v>
      </c>
    </row>
    <row r="9" s="51" customFormat="true" ht="49.5" hidden="false" customHeight="true" outlineLevel="0" collapsed="false">
      <c r="A9" s="39" t="n">
        <v>6</v>
      </c>
      <c r="B9" s="40" t="s">
        <v>25</v>
      </c>
      <c r="C9" s="55" t="n">
        <f aca="false">$BF$43</f>
        <v>0</v>
      </c>
      <c r="D9" s="56"/>
      <c r="E9" s="53" t="s">
        <v>26</v>
      </c>
      <c r="F9" s="44"/>
      <c r="G9" s="44"/>
      <c r="H9" s="44"/>
      <c r="I9" s="44"/>
      <c r="J9" s="45" t="str">
        <f aca="false">(IF(M9="","◄",""))</f>
        <v>◄</v>
      </c>
      <c r="K9" s="46" t="n">
        <v>0.15</v>
      </c>
      <c r="L9" s="47" t="n">
        <f aca="false">(IF(H9&lt;&gt;"",1/2,0)+IF(I9&lt;&gt;"",1,0))*K9*K$3*20</f>
        <v>0</v>
      </c>
      <c r="M9" s="48" t="str">
        <f aca="false">IF(COUNTBLANK(F9:I9)=3,1,"")</f>
        <v/>
      </c>
      <c r="N9" s="49" t="n">
        <f aca="false">IF(F9="",K9,0)</f>
        <v>0.15</v>
      </c>
      <c r="O9" s="50" t="n">
        <f aca="false">IF(N9=0,0,K9/SUM(N$4:N$10))</f>
        <v>0.15</v>
      </c>
      <c r="P9" s="44"/>
      <c r="Q9" s="44"/>
      <c r="R9" s="44"/>
      <c r="S9" s="44"/>
      <c r="T9" s="45" t="str">
        <f aca="false">(IF(W9="","◄",""))</f>
        <v>◄</v>
      </c>
      <c r="U9" s="46" t="n">
        <v>0.15</v>
      </c>
      <c r="V9" s="47" t="n">
        <f aca="false">(IF(R9&lt;&gt;"",1/2,0)+IF(S9&lt;&gt;"",1,0))*U9*U$3*20</f>
        <v>0</v>
      </c>
      <c r="W9" s="48" t="str">
        <f aca="false">IF(COUNTBLANK(P9:S9)=3,1,"")</f>
        <v/>
      </c>
      <c r="X9" s="49" t="n">
        <f aca="false">IF(P9="",U9,0)</f>
        <v>0.15</v>
      </c>
      <c r="Y9" s="50" t="n">
        <f aca="false">IF(X9=0,0,U9/SUM(X$4:X$10))</f>
        <v>0.15</v>
      </c>
      <c r="Z9" s="44"/>
      <c r="AA9" s="44"/>
      <c r="AB9" s="44"/>
      <c r="AC9" s="44"/>
      <c r="AD9" s="45" t="str">
        <f aca="false">(IF(AG9="","◄",""))</f>
        <v>◄</v>
      </c>
      <c r="AE9" s="46" t="n">
        <v>0.15</v>
      </c>
      <c r="AF9" s="47" t="n">
        <f aca="false">(IF(AB9&lt;&gt;"",1/2,0)+IF(AC9&lt;&gt;"",1,0))*AE9*AE$3*20</f>
        <v>0</v>
      </c>
      <c r="AG9" s="48" t="str">
        <f aca="false">IF(COUNTBLANK(Z9:AC9)=3,1,"")</f>
        <v/>
      </c>
      <c r="AH9" s="49" t="n">
        <f aca="false">IF(Z9="",AE9,0)</f>
        <v>0.15</v>
      </c>
      <c r="AI9" s="50" t="n">
        <f aca="false">IF(AH9=0,0,AE9/SUM(AH$4:AH$10))</f>
        <v>0.15</v>
      </c>
      <c r="AJ9" s="44"/>
      <c r="AK9" s="44"/>
      <c r="AL9" s="44"/>
      <c r="AM9" s="44"/>
      <c r="AN9" s="45" t="str">
        <f aca="false">(IF(AQ9="","◄",""))</f>
        <v>◄</v>
      </c>
      <c r="AO9" s="46" t="n">
        <v>0.15</v>
      </c>
      <c r="AP9" s="47" t="n">
        <f aca="false">(IF(AL9&lt;&gt;"",1/2,0)+IF(AM9&lt;&gt;"",1,0))*AO9*AO$3*20</f>
        <v>0</v>
      </c>
      <c r="AQ9" s="48" t="str">
        <f aca="false">IF(COUNTBLANK(AJ9:AM9)=3,1,"")</f>
        <v/>
      </c>
      <c r="AR9" s="49" t="n">
        <f aca="false">IF(AJ9="",AO9,0)</f>
        <v>0.15</v>
      </c>
      <c r="AS9" s="50" t="n">
        <f aca="false">IF(AR9=0,0,AO9/SUM(AR$4:AR$10))</f>
        <v>0.15</v>
      </c>
      <c r="AT9" s="44"/>
      <c r="AU9" s="44"/>
      <c r="AV9" s="44"/>
      <c r="AW9" s="44"/>
      <c r="AX9" s="45" t="str">
        <f aca="false">(IF(BA9="","◄",""))</f>
        <v>◄</v>
      </c>
      <c r="AY9" s="46" t="n">
        <v>0.15</v>
      </c>
      <c r="AZ9" s="47" t="n">
        <f aca="false">(IF(AV9&lt;&gt;"",1/2,0)+IF(AW9&lt;&gt;"",1,0))*AY9*AY$3*20</f>
        <v>0</v>
      </c>
      <c r="BA9" s="48" t="str">
        <f aca="false">IF(COUNTBLANK(AT9:AW9)=3,1,"")</f>
        <v/>
      </c>
      <c r="BB9" s="49" t="n">
        <f aca="false">IF(AT9="",AY9,0)</f>
        <v>0.15</v>
      </c>
      <c r="BC9" s="50" t="n">
        <f aca="false">IF(BB9=0,0,AY9/SUM(BB$4:BB$10))</f>
        <v>0.15</v>
      </c>
      <c r="BD9" s="44"/>
      <c r="BE9" s="44"/>
      <c r="BF9" s="44"/>
      <c r="BG9" s="44"/>
      <c r="BH9" s="45" t="str">
        <f aca="false">(IF(BK9="","◄",""))</f>
        <v>◄</v>
      </c>
      <c r="BI9" s="46" t="n">
        <v>0.15</v>
      </c>
      <c r="BJ9" s="47" t="n">
        <f aca="false">(IF(BF9&lt;&gt;"",1/2,0)+IF(BG9&lt;&gt;"",1,0))*BI9*BI$3*20</f>
        <v>0</v>
      </c>
      <c r="BK9" s="48" t="str">
        <f aca="false">IF(COUNTBLANK(BD9:BG9)=3,1,"")</f>
        <v/>
      </c>
      <c r="BL9" s="49" t="n">
        <f aca="false">IF(BD9="",BI9,0)</f>
        <v>0.15</v>
      </c>
      <c r="BM9" s="50" t="n">
        <f aca="false">IF(BL9=0,0,BI9/SUM(BL$4:BL$10))</f>
        <v>0.15</v>
      </c>
      <c r="BN9" s="44"/>
      <c r="BO9" s="44"/>
      <c r="BP9" s="44"/>
      <c r="BQ9" s="44"/>
      <c r="BR9" s="45" t="str">
        <f aca="false">(IF(BU9="","◄",""))</f>
        <v>◄</v>
      </c>
      <c r="BS9" s="46" t="n">
        <v>0.15</v>
      </c>
      <c r="BT9" s="47" t="n">
        <f aca="false">(IF(BP9&lt;&gt;"",1/2,0)+IF(BQ9&lt;&gt;"",1,0))*BS9*BS$3*20</f>
        <v>0</v>
      </c>
      <c r="BU9" s="48" t="str">
        <f aca="false">IF(COUNTBLANK(BN9:BQ9)=3,1,"")</f>
        <v/>
      </c>
      <c r="BV9" s="49" t="n">
        <f aca="false">IF(BN9="",BS9,0)</f>
        <v>0.15</v>
      </c>
      <c r="BW9" s="50" t="n">
        <f aca="false">IF(BV9=0,0,BS9/SUM(BV$4:BV$10))</f>
        <v>0.15</v>
      </c>
      <c r="BX9" s="44"/>
      <c r="BY9" s="44"/>
      <c r="BZ9" s="44"/>
      <c r="CA9" s="44"/>
      <c r="CB9" s="45" t="str">
        <f aca="false">(IF(CE9="","◄",""))</f>
        <v>◄</v>
      </c>
      <c r="CC9" s="46" t="n">
        <v>0.15</v>
      </c>
      <c r="CD9" s="47" t="n">
        <f aca="false">(IF(BZ9&lt;&gt;"",1/2,0)+IF(CA9&lt;&gt;"",1,0))*CC9*CC$3*20</f>
        <v>0</v>
      </c>
      <c r="CE9" s="48" t="str">
        <f aca="false">IF(COUNTBLANK(BX9:CA9)=3,1,"")</f>
        <v/>
      </c>
      <c r="CF9" s="49" t="n">
        <f aca="false">IF(BX9="",CC9,0)</f>
        <v>0.15</v>
      </c>
      <c r="CG9" s="50" t="n">
        <f aca="false">IF(CF9=0,0,CC9/SUM(CF$4:CF$10))</f>
        <v>0.15</v>
      </c>
      <c r="CH9" s="44"/>
      <c r="CI9" s="44"/>
      <c r="CJ9" s="44"/>
      <c r="CK9" s="44"/>
      <c r="CL9" s="45" t="str">
        <f aca="false">(IF(CO9="","◄",""))</f>
        <v>◄</v>
      </c>
      <c r="CM9" s="46" t="n">
        <v>0.15</v>
      </c>
      <c r="CN9" s="47" t="n">
        <f aca="false">(IF(CJ9&lt;&gt;"",1/2,0)+IF(CK9&lt;&gt;"",1,0))*CM9*CM$3*20</f>
        <v>0</v>
      </c>
      <c r="CO9" s="48" t="str">
        <f aca="false">IF(COUNTBLANK(CH9:CK9)=3,1,"")</f>
        <v/>
      </c>
      <c r="CP9" s="49" t="n">
        <f aca="false">IF(CH9="",CM9,0)</f>
        <v>0.15</v>
      </c>
      <c r="CQ9" s="50" t="n">
        <f aca="false">IF(CP9=0,0,CM9/SUM(CP$4:CP$10))</f>
        <v>0.15</v>
      </c>
      <c r="CR9" s="44"/>
      <c r="CS9" s="44"/>
      <c r="CT9" s="44"/>
      <c r="CU9" s="44"/>
      <c r="CV9" s="45" t="str">
        <f aca="false">(IF(CY9="","◄",""))</f>
        <v>◄</v>
      </c>
      <c r="CW9" s="46" t="n">
        <v>0.15</v>
      </c>
      <c r="CX9" s="47" t="n">
        <f aca="false">(IF(CT9&lt;&gt;"",1/2,0)+IF(CU9&lt;&gt;"",1,0))*CW9*CW$3*20</f>
        <v>0</v>
      </c>
      <c r="CY9" s="48" t="str">
        <f aca="false">IF(COUNTBLANK(CR9:CU9)=3,1,"")</f>
        <v/>
      </c>
      <c r="CZ9" s="49" t="n">
        <f aca="false">IF(CR9="",CW9,0)</f>
        <v>0.15</v>
      </c>
      <c r="DA9" s="50" t="n">
        <f aca="false">IF(CZ9=0,0,CW9/SUM(CZ$4:CZ$10))</f>
        <v>0.15</v>
      </c>
      <c r="DB9" s="44"/>
      <c r="DC9" s="44"/>
      <c r="DD9" s="44"/>
      <c r="DE9" s="44"/>
      <c r="DF9" s="45" t="str">
        <f aca="false">(IF(DI9="","◄",""))</f>
        <v>◄</v>
      </c>
      <c r="DG9" s="46" t="n">
        <v>0.15</v>
      </c>
      <c r="DH9" s="47" t="n">
        <f aca="false">(IF(DD9&lt;&gt;"",1/2,0)+IF(DE9&lt;&gt;"",1,0))*DG9*DG$3*20</f>
        <v>0</v>
      </c>
      <c r="DI9" s="48" t="str">
        <f aca="false">IF(COUNTBLANK(DB9:DE9)=3,1,"")</f>
        <v/>
      </c>
      <c r="DJ9" s="49" t="n">
        <f aca="false">IF(DB9="",DG9,0)</f>
        <v>0.15</v>
      </c>
      <c r="DK9" s="50" t="n">
        <f aca="false">IF(DJ9=0,0,DG9/SUM(DJ$4:DJ$10))</f>
        <v>0.15</v>
      </c>
      <c r="DL9" s="44"/>
      <c r="DM9" s="44"/>
      <c r="DN9" s="44"/>
      <c r="DO9" s="44"/>
      <c r="DP9" s="45" t="str">
        <f aca="false">(IF(DS9="","◄",""))</f>
        <v>◄</v>
      </c>
      <c r="DQ9" s="46" t="n">
        <v>0.15</v>
      </c>
      <c r="DR9" s="47" t="n">
        <f aca="false">(IF(DN9&lt;&gt;"",1/2,0)+IF(DO9&lt;&gt;"",1,0))*DQ9*DQ$3*20</f>
        <v>0</v>
      </c>
      <c r="DS9" s="48" t="str">
        <f aca="false">IF(COUNTBLANK(DL9:DO9)=3,1,"")</f>
        <v/>
      </c>
      <c r="DT9" s="49" t="n">
        <f aca="false">IF(DL9="",DQ9,0)</f>
        <v>0.15</v>
      </c>
      <c r="DU9" s="50" t="n">
        <f aca="false">IF(DT9=0,0,DQ9/SUM(DT$4:DT$10))</f>
        <v>0.15</v>
      </c>
      <c r="DV9" s="44"/>
      <c r="DW9" s="44"/>
      <c r="DX9" s="44"/>
      <c r="DY9" s="44"/>
      <c r="DZ9" s="45" t="str">
        <f aca="false">(IF(EC9="","◄",""))</f>
        <v>◄</v>
      </c>
      <c r="EA9" s="46" t="n">
        <v>0.15</v>
      </c>
      <c r="EB9" s="47" t="n">
        <f aca="false">(IF(DX9&lt;&gt;"",1/2,0)+IF(DY9&lt;&gt;"",1,0))*EA9*EA$3*20</f>
        <v>0</v>
      </c>
      <c r="EC9" s="48" t="str">
        <f aca="false">IF(COUNTBLANK(DV9:DY9)=3,1,"")</f>
        <v/>
      </c>
      <c r="ED9" s="49" t="n">
        <f aca="false">IF(DV9="",EA9,0)</f>
        <v>0.15</v>
      </c>
      <c r="EE9" s="50" t="n">
        <f aca="false">IF(ED9=0,0,EA9/SUM(ED$4:ED$10))</f>
        <v>0.15</v>
      </c>
      <c r="EF9" s="44"/>
      <c r="EG9" s="44"/>
      <c r="EH9" s="44"/>
      <c r="EI9" s="44"/>
      <c r="EJ9" s="45" t="str">
        <f aca="false">(IF(EM9="","◄",""))</f>
        <v>◄</v>
      </c>
      <c r="EK9" s="46" t="n">
        <v>0.15</v>
      </c>
      <c r="EL9" s="47" t="n">
        <f aca="false">(IF(EH9&lt;&gt;"",1/2,0)+IF(EI9&lt;&gt;"",1,0))*EK9*EK$3*20</f>
        <v>0</v>
      </c>
      <c r="EM9" s="48" t="str">
        <f aca="false">IF(COUNTBLANK(EF9:EI9)=3,1,"")</f>
        <v/>
      </c>
      <c r="EN9" s="49" t="n">
        <f aca="false">IF(EF9="",EK9,0)</f>
        <v>0.15</v>
      </c>
      <c r="EO9" s="50" t="n">
        <f aca="false">IF(EN9=0,0,EK9/SUM(EN$4:EN$10))</f>
        <v>0.15</v>
      </c>
      <c r="EP9" s="44"/>
      <c r="EQ9" s="44"/>
      <c r="ER9" s="44"/>
      <c r="ES9" s="44"/>
      <c r="ET9" s="45" t="str">
        <f aca="false">(IF(EW9="","◄",""))</f>
        <v>◄</v>
      </c>
      <c r="EU9" s="46" t="n">
        <v>0.15</v>
      </c>
      <c r="EV9" s="47" t="n">
        <f aca="false">(IF(ER9&lt;&gt;"",1/2,0)+IF(ES9&lt;&gt;"",1,0))*EU9*EU$3*20</f>
        <v>0</v>
      </c>
      <c r="EW9" s="48" t="str">
        <f aca="false">IF(COUNTBLANK(EP9:ES9)=3,1,"")</f>
        <v/>
      </c>
      <c r="EX9" s="49" t="n">
        <f aca="false">IF(EP9="",EU9,0)</f>
        <v>0.15</v>
      </c>
      <c r="EY9" s="50" t="n">
        <f aca="false">IF(EX9=0,0,EU9/SUM(EX$4:EX$10))</f>
        <v>0.15</v>
      </c>
      <c r="EZ9" s="44"/>
      <c r="FA9" s="44"/>
      <c r="FB9" s="44"/>
      <c r="FC9" s="44"/>
      <c r="FD9" s="45" t="str">
        <f aca="false">(IF(FG9="","◄",""))</f>
        <v>◄</v>
      </c>
      <c r="FE9" s="46" t="n">
        <v>0.15</v>
      </c>
      <c r="FF9" s="47" t="n">
        <f aca="false">(IF(FB9&lt;&gt;"",1/2,0)+IF(FC9&lt;&gt;"",1,0))*FE9*FE$3*20</f>
        <v>0</v>
      </c>
      <c r="FG9" s="48" t="str">
        <f aca="false">IF(COUNTBLANK(EZ9:FC9)=3,1,"")</f>
        <v/>
      </c>
      <c r="FH9" s="49" t="n">
        <f aca="false">IF(EZ9="",FE9,0)</f>
        <v>0.15</v>
      </c>
      <c r="FI9" s="50" t="n">
        <f aca="false">IF(FH9=0,0,FE9/SUM(FH$4:FH$10))</f>
        <v>0.15</v>
      </c>
      <c r="FJ9" s="44"/>
      <c r="FK9" s="44"/>
      <c r="FL9" s="44"/>
      <c r="FM9" s="44"/>
      <c r="FN9" s="45" t="str">
        <f aca="false">(IF(FQ9="","◄",""))</f>
        <v>◄</v>
      </c>
      <c r="FO9" s="46" t="n">
        <v>0.15</v>
      </c>
      <c r="FP9" s="47" t="n">
        <f aca="false">(IF(FL9&lt;&gt;"",1/2,0)+IF(FM9&lt;&gt;"",1,0))*FO9*FO$3*20</f>
        <v>0</v>
      </c>
      <c r="FQ9" s="48" t="str">
        <f aca="false">IF(COUNTBLANK(FJ9:FM9)=3,1,"")</f>
        <v/>
      </c>
      <c r="FR9" s="49" t="n">
        <f aca="false">IF(FJ9="",FO9,0)</f>
        <v>0.15</v>
      </c>
      <c r="FS9" s="50" t="n">
        <f aca="false">IF(FR9=0,0,FO9/SUM(FR$4:FR$10))</f>
        <v>0.15</v>
      </c>
      <c r="FT9" s="44"/>
      <c r="FU9" s="44"/>
      <c r="FV9" s="44"/>
      <c r="FW9" s="44"/>
      <c r="FX9" s="45" t="str">
        <f aca="false">(IF(GA9="","◄",""))</f>
        <v>◄</v>
      </c>
      <c r="FY9" s="46" t="n">
        <v>0.15</v>
      </c>
      <c r="FZ9" s="47" t="n">
        <f aca="false">(IF(FV9&lt;&gt;"",1/2,0)+IF(FW9&lt;&gt;"",1,0))*FY9*FY$3*20</f>
        <v>0</v>
      </c>
      <c r="GA9" s="48" t="str">
        <f aca="false">IF(COUNTBLANK(FT9:FW9)=3,1,"")</f>
        <v/>
      </c>
      <c r="GB9" s="49" t="n">
        <f aca="false">IF(FT9="",FY9,0)</f>
        <v>0.15</v>
      </c>
      <c r="GC9" s="50" t="n">
        <f aca="false">IF(GB9=0,0,FY9/SUM(GB$4:GB$10))</f>
        <v>0.15</v>
      </c>
      <c r="GD9" s="44"/>
      <c r="GE9" s="44"/>
      <c r="GF9" s="44"/>
      <c r="GG9" s="44"/>
      <c r="GH9" s="45" t="str">
        <f aca="false">(IF(GK9="","◄",""))</f>
        <v>◄</v>
      </c>
      <c r="GI9" s="46" t="n">
        <v>0.15</v>
      </c>
      <c r="GJ9" s="47" t="n">
        <f aca="false">(IF(GF9&lt;&gt;"",1/2,0)+IF(GG9&lt;&gt;"",1,0))*GI9*GI$3*20</f>
        <v>0</v>
      </c>
      <c r="GK9" s="48" t="str">
        <f aca="false">IF(COUNTBLANK(GD9:GG9)=3,1,"")</f>
        <v/>
      </c>
      <c r="GL9" s="49" t="n">
        <f aca="false">IF(GD9="",GI9,0)</f>
        <v>0.15</v>
      </c>
      <c r="GM9" s="50" t="n">
        <f aca="false">IF(GL9=0,0,GI9/SUM(GL$4:GL$10))</f>
        <v>0.15</v>
      </c>
      <c r="GN9" s="44"/>
      <c r="GO9" s="44"/>
      <c r="GP9" s="44"/>
      <c r="GQ9" s="44"/>
      <c r="GR9" s="45" t="str">
        <f aca="false">(IF(GU9="","◄",""))</f>
        <v>◄</v>
      </c>
      <c r="GS9" s="46" t="n">
        <v>0.15</v>
      </c>
      <c r="GT9" s="47" t="n">
        <f aca="false">(IF(GP9&lt;&gt;"",1/2,0)+IF(GQ9&lt;&gt;"",1,0))*GS9*GS$3*20</f>
        <v>0</v>
      </c>
      <c r="GU9" s="48" t="str">
        <f aca="false">IF(COUNTBLANK(GN9:GQ9)=3,1,"")</f>
        <v/>
      </c>
      <c r="GV9" s="49" t="n">
        <f aca="false">IF(GN9="",GS9,0)</f>
        <v>0.15</v>
      </c>
      <c r="GW9" s="50" t="n">
        <f aca="false">IF(GV9=0,0,GS9/SUM(GV$4:GV$10))</f>
        <v>0.15</v>
      </c>
      <c r="GX9" s="44"/>
      <c r="GY9" s="44"/>
      <c r="GZ9" s="44"/>
      <c r="HA9" s="44"/>
      <c r="HB9" s="45" t="str">
        <f aca="false">(IF(HE9="","◄",""))</f>
        <v>◄</v>
      </c>
      <c r="HC9" s="46" t="n">
        <v>0.15</v>
      </c>
      <c r="HD9" s="47" t="n">
        <f aca="false">(IF(GZ9&lt;&gt;"",1/2,0)+IF(HA9&lt;&gt;"",1,0))*HC9*HC$3*20</f>
        <v>0</v>
      </c>
      <c r="HE9" s="48" t="str">
        <f aca="false">IF(COUNTBLANK(GX9:HA9)=3,1,"")</f>
        <v/>
      </c>
      <c r="HF9" s="49" t="n">
        <f aca="false">IF(GX9="",HC9,0)</f>
        <v>0.15</v>
      </c>
      <c r="HG9" s="50" t="n">
        <f aca="false">IF(HF9=0,0,HC9/SUM(HF$4:HF$10))</f>
        <v>0.15</v>
      </c>
      <c r="HH9" s="44"/>
      <c r="HI9" s="44"/>
      <c r="HJ9" s="44"/>
      <c r="HK9" s="44"/>
      <c r="HL9" s="45" t="str">
        <f aca="false">(IF(HO9="","◄",""))</f>
        <v>◄</v>
      </c>
      <c r="HM9" s="46" t="n">
        <v>0.15</v>
      </c>
      <c r="HN9" s="47" t="n">
        <f aca="false">(IF(HJ9&lt;&gt;"",1/2,0)+IF(HK9&lt;&gt;"",1,0))*HM9*HM$3*20</f>
        <v>0</v>
      </c>
      <c r="HO9" s="48" t="str">
        <f aca="false">IF(COUNTBLANK(HH9:HK9)=3,1,"")</f>
        <v/>
      </c>
      <c r="HP9" s="49" t="n">
        <f aca="false">IF(HH9="",HM9,0)</f>
        <v>0.15</v>
      </c>
      <c r="HQ9" s="50" t="n">
        <f aca="false">IF(HP9=0,0,HM9/SUM(HP$4:HP$10))</f>
        <v>0.15</v>
      </c>
      <c r="HR9" s="44"/>
      <c r="HS9" s="44"/>
      <c r="HT9" s="44"/>
      <c r="HU9" s="44"/>
      <c r="HV9" s="45" t="str">
        <f aca="false">(IF(HY9="","◄",""))</f>
        <v>◄</v>
      </c>
      <c r="HW9" s="46" t="n">
        <v>0.15</v>
      </c>
      <c r="HX9" s="47" t="n">
        <f aca="false">(IF(HT9&lt;&gt;"",1/2,0)+IF(HU9&lt;&gt;"",1,0))*HW9*HW$3*20</f>
        <v>0</v>
      </c>
      <c r="HY9" s="48" t="str">
        <f aca="false">IF(COUNTBLANK(HR9:HU9)=3,1,"")</f>
        <v/>
      </c>
      <c r="HZ9" s="49" t="n">
        <f aca="false">IF(HR9="",HW9,0)</f>
        <v>0.15</v>
      </c>
      <c r="IA9" s="50" t="n">
        <f aca="false">IF(HZ9=0,0,HW9/SUM(HZ$4:HZ$10))</f>
        <v>0.15</v>
      </c>
      <c r="IB9" s="44"/>
      <c r="IC9" s="44"/>
      <c r="ID9" s="44"/>
      <c r="IE9" s="44"/>
      <c r="IF9" s="45" t="str">
        <f aca="false">(IF(II9="","◄",""))</f>
        <v>◄</v>
      </c>
      <c r="IG9" s="46" t="n">
        <v>0.15</v>
      </c>
      <c r="IH9" s="47" t="n">
        <f aca="false">(IF(ID9&lt;&gt;"",1/2,0)+IF(IE9&lt;&gt;"",1,0))*IG9*IG$3*20</f>
        <v>0</v>
      </c>
      <c r="II9" s="48" t="str">
        <f aca="false">IF(COUNTBLANK(IB9:IE9)=3,1,"")</f>
        <v/>
      </c>
      <c r="IJ9" s="49" t="n">
        <f aca="false">IF(IB9="",IG9,0)</f>
        <v>0.15</v>
      </c>
      <c r="IK9" s="50" t="n">
        <f aca="false">IF(IJ9=0,0,IG9/SUM(IJ$4:IJ$10))</f>
        <v>0.15</v>
      </c>
    </row>
    <row r="10" s="51" customFormat="true" ht="84" hidden="false" customHeight="true" outlineLevel="0" collapsed="false">
      <c r="A10" s="39" t="n">
        <v>7</v>
      </c>
      <c r="B10" s="40" t="s">
        <v>27</v>
      </c>
      <c r="C10" s="55" t="n">
        <f aca="false">$BP$43</f>
        <v>0</v>
      </c>
      <c r="D10" s="52" t="s">
        <v>28</v>
      </c>
      <c r="E10" s="53" t="s">
        <v>29</v>
      </c>
      <c r="F10" s="44"/>
      <c r="G10" s="44"/>
      <c r="H10" s="44"/>
      <c r="I10" s="44"/>
      <c r="J10" s="45" t="str">
        <f aca="false">(IF(M10="","◄",""))</f>
        <v>◄</v>
      </c>
      <c r="K10" s="46" t="n">
        <v>0.1</v>
      </c>
      <c r="L10" s="47" t="n">
        <f aca="false">(IF(H10&lt;&gt;"",1/2,0)+IF(I10&lt;&gt;"",1,0))*K10*K$3*20</f>
        <v>0</v>
      </c>
      <c r="M10" s="48" t="str">
        <f aca="false">IF(COUNTBLANK(F10:I10)=3,1,"")</f>
        <v/>
      </c>
      <c r="N10" s="49" t="n">
        <f aca="false">IF(F10="",K10,0)</f>
        <v>0.1</v>
      </c>
      <c r="O10" s="50" t="n">
        <f aca="false">IF(N10=0,0,K10/SUM(N$4:N$10))</f>
        <v>0.1</v>
      </c>
      <c r="P10" s="44"/>
      <c r="Q10" s="44"/>
      <c r="R10" s="44"/>
      <c r="S10" s="44"/>
      <c r="T10" s="45" t="str">
        <f aca="false">(IF(W10="","◄",""))</f>
        <v>◄</v>
      </c>
      <c r="U10" s="46" t="n">
        <v>0.1</v>
      </c>
      <c r="V10" s="47" t="n">
        <f aca="false">(IF(R10&lt;&gt;"",1/2,0)+IF(S10&lt;&gt;"",1,0))*U10*U$3*20</f>
        <v>0</v>
      </c>
      <c r="W10" s="48" t="str">
        <f aca="false">IF(COUNTBLANK(P10:S10)=3,1,"")</f>
        <v/>
      </c>
      <c r="X10" s="49" t="n">
        <f aca="false">IF(P10="",U10,0)</f>
        <v>0.1</v>
      </c>
      <c r="Y10" s="50" t="n">
        <f aca="false">IF(X10=0,0,U10/SUM(X$4:X$10))</f>
        <v>0.1</v>
      </c>
      <c r="Z10" s="44"/>
      <c r="AA10" s="44"/>
      <c r="AB10" s="44"/>
      <c r="AC10" s="44"/>
      <c r="AD10" s="45" t="str">
        <f aca="false">(IF(AG10="","◄",""))</f>
        <v>◄</v>
      </c>
      <c r="AE10" s="46" t="n">
        <v>0.1</v>
      </c>
      <c r="AF10" s="47" t="n">
        <f aca="false">(IF(AB10&lt;&gt;"",1/2,0)+IF(AC10&lt;&gt;"",1,0))*AE10*AE$3*20</f>
        <v>0</v>
      </c>
      <c r="AG10" s="48" t="str">
        <f aca="false">IF(COUNTBLANK(Z10:AC10)=3,1,"")</f>
        <v/>
      </c>
      <c r="AH10" s="49" t="n">
        <f aca="false">IF(Z10="",AE10,0)</f>
        <v>0.1</v>
      </c>
      <c r="AI10" s="50" t="n">
        <f aca="false">IF(AH10=0,0,AE10/SUM(AH$4:AH$10))</f>
        <v>0.1</v>
      </c>
      <c r="AJ10" s="44"/>
      <c r="AK10" s="44"/>
      <c r="AL10" s="44"/>
      <c r="AM10" s="44"/>
      <c r="AN10" s="45" t="str">
        <f aca="false">(IF(AQ10="","◄",""))</f>
        <v>◄</v>
      </c>
      <c r="AO10" s="46" t="n">
        <v>0.1</v>
      </c>
      <c r="AP10" s="47" t="n">
        <f aca="false">(IF(AL10&lt;&gt;"",1/2,0)+IF(AM10&lt;&gt;"",1,0))*AO10*AO$3*20</f>
        <v>0</v>
      </c>
      <c r="AQ10" s="48" t="str">
        <f aca="false">IF(COUNTBLANK(AJ10:AM10)=3,1,"")</f>
        <v/>
      </c>
      <c r="AR10" s="49" t="n">
        <f aca="false">IF(AJ10="",AO10,0)</f>
        <v>0.1</v>
      </c>
      <c r="AS10" s="50" t="n">
        <f aca="false">IF(AR10=0,0,AO10/SUM(AR$4:AR$10))</f>
        <v>0.1</v>
      </c>
      <c r="AT10" s="44"/>
      <c r="AU10" s="44"/>
      <c r="AV10" s="44"/>
      <c r="AW10" s="44"/>
      <c r="AX10" s="45" t="str">
        <f aca="false">(IF(BA10="","◄",""))</f>
        <v>◄</v>
      </c>
      <c r="AY10" s="46" t="n">
        <v>0.1</v>
      </c>
      <c r="AZ10" s="47" t="n">
        <f aca="false">(IF(AV10&lt;&gt;"",1/2,0)+IF(AW10&lt;&gt;"",1,0))*AY10*AY$3*20</f>
        <v>0</v>
      </c>
      <c r="BA10" s="48" t="str">
        <f aca="false">IF(COUNTBLANK(AT10:AW10)=3,1,"")</f>
        <v/>
      </c>
      <c r="BB10" s="49" t="n">
        <f aca="false">IF(AT10="",AY10,0)</f>
        <v>0.1</v>
      </c>
      <c r="BC10" s="50" t="n">
        <f aca="false">IF(BB10=0,0,AY10/SUM(BB$4:BB$10))</f>
        <v>0.1</v>
      </c>
      <c r="BD10" s="44"/>
      <c r="BE10" s="44"/>
      <c r="BF10" s="44"/>
      <c r="BG10" s="44"/>
      <c r="BH10" s="45" t="str">
        <f aca="false">(IF(BK10="","◄",""))</f>
        <v>◄</v>
      </c>
      <c r="BI10" s="46" t="n">
        <v>0.1</v>
      </c>
      <c r="BJ10" s="47" t="n">
        <f aca="false">(IF(BF10&lt;&gt;"",1/2,0)+IF(BG10&lt;&gt;"",1,0))*BI10*BI$3*20</f>
        <v>0</v>
      </c>
      <c r="BK10" s="48" t="str">
        <f aca="false">IF(COUNTBLANK(BD10:BG10)=3,1,"")</f>
        <v/>
      </c>
      <c r="BL10" s="49" t="n">
        <f aca="false">IF(BD10="",BI10,0)</f>
        <v>0.1</v>
      </c>
      <c r="BM10" s="50" t="n">
        <f aca="false">IF(BL10=0,0,BI10/SUM(BL$4:BL$10))</f>
        <v>0.1</v>
      </c>
      <c r="BN10" s="44"/>
      <c r="BO10" s="44"/>
      <c r="BP10" s="44"/>
      <c r="BQ10" s="44"/>
      <c r="BR10" s="45" t="str">
        <f aca="false">(IF(BU10="","◄",""))</f>
        <v>◄</v>
      </c>
      <c r="BS10" s="46" t="n">
        <v>0.1</v>
      </c>
      <c r="BT10" s="47" t="n">
        <f aca="false">(IF(BP10&lt;&gt;"",1/2,0)+IF(BQ10&lt;&gt;"",1,0))*BS10*BS$3*20</f>
        <v>0</v>
      </c>
      <c r="BU10" s="48" t="str">
        <f aca="false">IF(COUNTBLANK(BN10:BQ10)=3,1,"")</f>
        <v/>
      </c>
      <c r="BV10" s="49" t="n">
        <f aca="false">IF(BN10="",BS10,0)</f>
        <v>0.1</v>
      </c>
      <c r="BW10" s="50" t="n">
        <f aca="false">IF(BV10=0,0,BS10/SUM(BV$4:BV$10))</f>
        <v>0.1</v>
      </c>
      <c r="BX10" s="44"/>
      <c r="BY10" s="44"/>
      <c r="BZ10" s="44"/>
      <c r="CA10" s="44"/>
      <c r="CB10" s="45" t="str">
        <f aca="false">(IF(CE10="","◄",""))</f>
        <v>◄</v>
      </c>
      <c r="CC10" s="46" t="n">
        <v>0.1</v>
      </c>
      <c r="CD10" s="47" t="n">
        <f aca="false">(IF(BZ10&lt;&gt;"",1/2,0)+IF(CA10&lt;&gt;"",1,0))*CC10*CC$3*20</f>
        <v>0</v>
      </c>
      <c r="CE10" s="48" t="str">
        <f aca="false">IF(COUNTBLANK(BX10:CA10)=3,1,"")</f>
        <v/>
      </c>
      <c r="CF10" s="49" t="n">
        <f aca="false">IF(BX10="",CC10,0)</f>
        <v>0.1</v>
      </c>
      <c r="CG10" s="50" t="n">
        <f aca="false">IF(CF10=0,0,CC10/SUM(CF$4:CF$10))</f>
        <v>0.1</v>
      </c>
      <c r="CH10" s="44"/>
      <c r="CI10" s="44"/>
      <c r="CJ10" s="44"/>
      <c r="CK10" s="44"/>
      <c r="CL10" s="45" t="str">
        <f aca="false">(IF(CO10="","◄",""))</f>
        <v>◄</v>
      </c>
      <c r="CM10" s="46" t="n">
        <v>0.1</v>
      </c>
      <c r="CN10" s="47" t="n">
        <f aca="false">(IF(CJ10&lt;&gt;"",1/2,0)+IF(CK10&lt;&gt;"",1,0))*CM10*CM$3*20</f>
        <v>0</v>
      </c>
      <c r="CO10" s="48" t="str">
        <f aca="false">IF(COUNTBLANK(CH10:CK10)=3,1,"")</f>
        <v/>
      </c>
      <c r="CP10" s="49" t="n">
        <f aca="false">IF(CH10="",CM10,0)</f>
        <v>0.1</v>
      </c>
      <c r="CQ10" s="50" t="n">
        <f aca="false">IF(CP10=0,0,CM10/SUM(CP$4:CP$10))</f>
        <v>0.1</v>
      </c>
      <c r="CR10" s="44"/>
      <c r="CS10" s="44"/>
      <c r="CT10" s="44"/>
      <c r="CU10" s="44"/>
      <c r="CV10" s="45" t="str">
        <f aca="false">(IF(CY10="","◄",""))</f>
        <v>◄</v>
      </c>
      <c r="CW10" s="46" t="n">
        <v>0.1</v>
      </c>
      <c r="CX10" s="47" t="n">
        <f aca="false">(IF(CT10&lt;&gt;"",1/2,0)+IF(CU10&lt;&gt;"",1,0))*CW10*CW$3*20</f>
        <v>0</v>
      </c>
      <c r="CY10" s="48" t="str">
        <f aca="false">IF(COUNTBLANK(CR10:CU10)=3,1,"")</f>
        <v/>
      </c>
      <c r="CZ10" s="49" t="n">
        <f aca="false">IF(CR10="",CW10,0)</f>
        <v>0.1</v>
      </c>
      <c r="DA10" s="50" t="n">
        <f aca="false">IF(CZ10=0,0,CW10/SUM(CZ$4:CZ$10))</f>
        <v>0.1</v>
      </c>
      <c r="DB10" s="44"/>
      <c r="DC10" s="44"/>
      <c r="DD10" s="44"/>
      <c r="DE10" s="44"/>
      <c r="DF10" s="45" t="str">
        <f aca="false">(IF(DI10="","◄",""))</f>
        <v>◄</v>
      </c>
      <c r="DG10" s="46" t="n">
        <v>0.1</v>
      </c>
      <c r="DH10" s="47" t="n">
        <f aca="false">(IF(DD10&lt;&gt;"",1/2,0)+IF(DE10&lt;&gt;"",1,0))*DG10*DG$3*20</f>
        <v>0</v>
      </c>
      <c r="DI10" s="48" t="str">
        <f aca="false">IF(COUNTBLANK(DB10:DE10)=3,1,"")</f>
        <v/>
      </c>
      <c r="DJ10" s="49" t="n">
        <f aca="false">IF(DB10="",DG10,0)</f>
        <v>0.1</v>
      </c>
      <c r="DK10" s="50" t="n">
        <f aca="false">IF(DJ10=0,0,DG10/SUM(DJ$4:DJ$10))</f>
        <v>0.1</v>
      </c>
      <c r="DL10" s="44"/>
      <c r="DM10" s="44"/>
      <c r="DN10" s="44"/>
      <c r="DO10" s="44"/>
      <c r="DP10" s="45" t="str">
        <f aca="false">(IF(DS10="","◄",""))</f>
        <v>◄</v>
      </c>
      <c r="DQ10" s="46" t="n">
        <v>0.1</v>
      </c>
      <c r="DR10" s="47" t="n">
        <f aca="false">(IF(DN10&lt;&gt;"",1/2,0)+IF(DO10&lt;&gt;"",1,0))*DQ10*DQ$3*20</f>
        <v>0</v>
      </c>
      <c r="DS10" s="48" t="str">
        <f aca="false">IF(COUNTBLANK(DL10:DO10)=3,1,"")</f>
        <v/>
      </c>
      <c r="DT10" s="49" t="n">
        <f aca="false">IF(DL10="",DQ10,0)</f>
        <v>0.1</v>
      </c>
      <c r="DU10" s="50" t="n">
        <f aca="false">IF(DT10=0,0,DQ10/SUM(DT$4:DT$10))</f>
        <v>0.1</v>
      </c>
      <c r="DV10" s="44"/>
      <c r="DW10" s="44"/>
      <c r="DX10" s="44"/>
      <c r="DY10" s="44"/>
      <c r="DZ10" s="45" t="str">
        <f aca="false">(IF(EC10="","◄",""))</f>
        <v>◄</v>
      </c>
      <c r="EA10" s="46" t="n">
        <v>0.1</v>
      </c>
      <c r="EB10" s="47" t="n">
        <f aca="false">(IF(DX10&lt;&gt;"",1/2,0)+IF(DY10&lt;&gt;"",1,0))*EA10*EA$3*20</f>
        <v>0</v>
      </c>
      <c r="EC10" s="48" t="str">
        <f aca="false">IF(COUNTBLANK(DV10:DY10)=3,1,"")</f>
        <v/>
      </c>
      <c r="ED10" s="49" t="n">
        <f aca="false">IF(DV10="",EA10,0)</f>
        <v>0.1</v>
      </c>
      <c r="EE10" s="50" t="n">
        <f aca="false">IF(ED10=0,0,EA10/SUM(ED$4:ED$10))</f>
        <v>0.1</v>
      </c>
      <c r="EF10" s="44"/>
      <c r="EG10" s="44"/>
      <c r="EH10" s="44"/>
      <c r="EI10" s="44"/>
      <c r="EJ10" s="45" t="str">
        <f aca="false">(IF(EM10="","◄",""))</f>
        <v>◄</v>
      </c>
      <c r="EK10" s="46" t="n">
        <v>0.1</v>
      </c>
      <c r="EL10" s="47" t="n">
        <f aca="false">(IF(EH10&lt;&gt;"",1/2,0)+IF(EI10&lt;&gt;"",1,0))*EK10*EK$3*20</f>
        <v>0</v>
      </c>
      <c r="EM10" s="48" t="str">
        <f aca="false">IF(COUNTBLANK(EF10:EI10)=3,1,"")</f>
        <v/>
      </c>
      <c r="EN10" s="49" t="n">
        <f aca="false">IF(EF10="",EK10,0)</f>
        <v>0.1</v>
      </c>
      <c r="EO10" s="50" t="n">
        <f aca="false">IF(EN10=0,0,EK10/SUM(EN$4:EN$10))</f>
        <v>0.1</v>
      </c>
      <c r="EP10" s="44"/>
      <c r="EQ10" s="44"/>
      <c r="ER10" s="44"/>
      <c r="ES10" s="44"/>
      <c r="ET10" s="45" t="str">
        <f aca="false">(IF(EW10="","◄",""))</f>
        <v>◄</v>
      </c>
      <c r="EU10" s="46" t="n">
        <v>0.1</v>
      </c>
      <c r="EV10" s="47" t="n">
        <f aca="false">(IF(ER10&lt;&gt;"",1/2,0)+IF(ES10&lt;&gt;"",1,0))*EU10*EU$3*20</f>
        <v>0</v>
      </c>
      <c r="EW10" s="48" t="str">
        <f aca="false">IF(COUNTBLANK(EP10:ES10)=3,1,"")</f>
        <v/>
      </c>
      <c r="EX10" s="49" t="n">
        <f aca="false">IF(EP10="",EU10,0)</f>
        <v>0.1</v>
      </c>
      <c r="EY10" s="50" t="n">
        <f aca="false">IF(EX10=0,0,EU10/SUM(EX$4:EX$10))</f>
        <v>0.1</v>
      </c>
      <c r="EZ10" s="44"/>
      <c r="FA10" s="44"/>
      <c r="FB10" s="44"/>
      <c r="FC10" s="44"/>
      <c r="FD10" s="45" t="str">
        <f aca="false">(IF(FG10="","◄",""))</f>
        <v>◄</v>
      </c>
      <c r="FE10" s="46" t="n">
        <v>0.1</v>
      </c>
      <c r="FF10" s="47" t="n">
        <f aca="false">(IF(FB10&lt;&gt;"",1/2,0)+IF(FC10&lt;&gt;"",1,0))*FE10*FE$3*20</f>
        <v>0</v>
      </c>
      <c r="FG10" s="48" t="str">
        <f aca="false">IF(COUNTBLANK(EZ10:FC10)=3,1,"")</f>
        <v/>
      </c>
      <c r="FH10" s="49" t="n">
        <f aca="false">IF(EZ10="",FE10,0)</f>
        <v>0.1</v>
      </c>
      <c r="FI10" s="50" t="n">
        <f aca="false">IF(FH10=0,0,FE10/SUM(FH$4:FH$10))</f>
        <v>0.1</v>
      </c>
      <c r="FJ10" s="44"/>
      <c r="FK10" s="44"/>
      <c r="FL10" s="44"/>
      <c r="FM10" s="44"/>
      <c r="FN10" s="45" t="str">
        <f aca="false">(IF(FQ10="","◄",""))</f>
        <v>◄</v>
      </c>
      <c r="FO10" s="46" t="n">
        <v>0.1</v>
      </c>
      <c r="FP10" s="47" t="n">
        <f aca="false">(IF(FL10&lt;&gt;"",1/2,0)+IF(FM10&lt;&gt;"",1,0))*FO10*FO$3*20</f>
        <v>0</v>
      </c>
      <c r="FQ10" s="48" t="str">
        <f aca="false">IF(COUNTBLANK(FJ10:FM10)=3,1,"")</f>
        <v/>
      </c>
      <c r="FR10" s="49" t="n">
        <f aca="false">IF(FJ10="",FO10,0)</f>
        <v>0.1</v>
      </c>
      <c r="FS10" s="50" t="n">
        <f aca="false">IF(FR10=0,0,FO10/SUM(FR$4:FR$10))</f>
        <v>0.1</v>
      </c>
      <c r="FT10" s="44"/>
      <c r="FU10" s="44"/>
      <c r="FV10" s="44"/>
      <c r="FW10" s="44"/>
      <c r="FX10" s="45" t="str">
        <f aca="false">(IF(GA10="","◄",""))</f>
        <v>◄</v>
      </c>
      <c r="FY10" s="46" t="n">
        <v>0.1</v>
      </c>
      <c r="FZ10" s="47" t="n">
        <f aca="false">(IF(FV10&lt;&gt;"",1/2,0)+IF(FW10&lt;&gt;"",1,0))*FY10*FY$3*20</f>
        <v>0</v>
      </c>
      <c r="GA10" s="48" t="str">
        <f aca="false">IF(COUNTBLANK(FT10:FW10)=3,1,"")</f>
        <v/>
      </c>
      <c r="GB10" s="49" t="n">
        <f aca="false">IF(FT10="",FY10,0)</f>
        <v>0.1</v>
      </c>
      <c r="GC10" s="50" t="n">
        <f aca="false">IF(GB10=0,0,FY10/SUM(GB$4:GB$10))</f>
        <v>0.1</v>
      </c>
      <c r="GD10" s="44"/>
      <c r="GE10" s="44"/>
      <c r="GF10" s="44"/>
      <c r="GG10" s="44"/>
      <c r="GH10" s="45" t="str">
        <f aca="false">(IF(GK10="","◄",""))</f>
        <v>◄</v>
      </c>
      <c r="GI10" s="46" t="n">
        <v>0.1</v>
      </c>
      <c r="GJ10" s="47" t="n">
        <f aca="false">(IF(GF10&lt;&gt;"",1/2,0)+IF(GG10&lt;&gt;"",1,0))*GI10*GI$3*20</f>
        <v>0</v>
      </c>
      <c r="GK10" s="48" t="str">
        <f aca="false">IF(COUNTBLANK(GD10:GG10)=3,1,"")</f>
        <v/>
      </c>
      <c r="GL10" s="49" t="n">
        <f aca="false">IF(GD10="",GI10,0)</f>
        <v>0.1</v>
      </c>
      <c r="GM10" s="50" t="n">
        <f aca="false">IF(GL10=0,0,GI10/SUM(GL$4:GL$10))</f>
        <v>0.1</v>
      </c>
      <c r="GN10" s="44"/>
      <c r="GO10" s="44"/>
      <c r="GP10" s="44"/>
      <c r="GQ10" s="44"/>
      <c r="GR10" s="45" t="str">
        <f aca="false">(IF(GU10="","◄",""))</f>
        <v>◄</v>
      </c>
      <c r="GS10" s="46" t="n">
        <v>0.1</v>
      </c>
      <c r="GT10" s="47" t="n">
        <f aca="false">(IF(GP10&lt;&gt;"",1/2,0)+IF(GQ10&lt;&gt;"",1,0))*GS10*GS$3*20</f>
        <v>0</v>
      </c>
      <c r="GU10" s="48" t="str">
        <f aca="false">IF(COUNTBLANK(GN10:GQ10)=3,1,"")</f>
        <v/>
      </c>
      <c r="GV10" s="49" t="n">
        <f aca="false">IF(GN10="",GS10,0)</f>
        <v>0.1</v>
      </c>
      <c r="GW10" s="50" t="n">
        <f aca="false">IF(GV10=0,0,GS10/SUM(GV$4:GV$10))</f>
        <v>0.1</v>
      </c>
      <c r="GX10" s="44"/>
      <c r="GY10" s="44"/>
      <c r="GZ10" s="44"/>
      <c r="HA10" s="44"/>
      <c r="HB10" s="45" t="str">
        <f aca="false">(IF(HE10="","◄",""))</f>
        <v>◄</v>
      </c>
      <c r="HC10" s="46" t="n">
        <v>0.1</v>
      </c>
      <c r="HD10" s="47" t="n">
        <f aca="false">(IF(GZ10&lt;&gt;"",1/2,0)+IF(HA10&lt;&gt;"",1,0))*HC10*HC$3*20</f>
        <v>0</v>
      </c>
      <c r="HE10" s="48" t="str">
        <f aca="false">IF(COUNTBLANK(GX10:HA10)=3,1,"")</f>
        <v/>
      </c>
      <c r="HF10" s="49" t="n">
        <f aca="false">IF(GX10="",HC10,0)</f>
        <v>0.1</v>
      </c>
      <c r="HG10" s="50" t="n">
        <f aca="false">IF(HF10=0,0,HC10/SUM(HF$4:HF$10))</f>
        <v>0.1</v>
      </c>
      <c r="HH10" s="44"/>
      <c r="HI10" s="44"/>
      <c r="HJ10" s="44"/>
      <c r="HK10" s="44"/>
      <c r="HL10" s="45" t="str">
        <f aca="false">(IF(HO10="","◄",""))</f>
        <v>◄</v>
      </c>
      <c r="HM10" s="46" t="n">
        <v>0.1</v>
      </c>
      <c r="HN10" s="47" t="n">
        <f aca="false">(IF(HJ10&lt;&gt;"",1/2,0)+IF(HK10&lt;&gt;"",1,0))*HM10*HM$3*20</f>
        <v>0</v>
      </c>
      <c r="HO10" s="48" t="str">
        <f aca="false">IF(COUNTBLANK(HH10:HK10)=3,1,"")</f>
        <v/>
      </c>
      <c r="HP10" s="49" t="n">
        <f aca="false">IF(HH10="",HM10,0)</f>
        <v>0.1</v>
      </c>
      <c r="HQ10" s="50" t="n">
        <f aca="false">IF(HP10=0,0,HM10/SUM(HP$4:HP$10))</f>
        <v>0.1</v>
      </c>
      <c r="HR10" s="44"/>
      <c r="HS10" s="44"/>
      <c r="HT10" s="44"/>
      <c r="HU10" s="44"/>
      <c r="HV10" s="45" t="str">
        <f aca="false">(IF(HY10="","◄",""))</f>
        <v>◄</v>
      </c>
      <c r="HW10" s="46" t="n">
        <v>0.1</v>
      </c>
      <c r="HX10" s="47" t="n">
        <f aca="false">(IF(HT10&lt;&gt;"",1/2,0)+IF(HU10&lt;&gt;"",1,0))*HW10*HW$3*20</f>
        <v>0</v>
      </c>
      <c r="HY10" s="48" t="str">
        <f aca="false">IF(COUNTBLANK(HR10:HU10)=3,1,"")</f>
        <v/>
      </c>
      <c r="HZ10" s="49" t="n">
        <f aca="false">IF(HR10="",HW10,0)</f>
        <v>0.1</v>
      </c>
      <c r="IA10" s="50" t="n">
        <f aca="false">IF(HZ10=0,0,HW10/SUM(HZ$4:HZ$10))</f>
        <v>0.1</v>
      </c>
      <c r="IB10" s="44"/>
      <c r="IC10" s="44"/>
      <c r="ID10" s="44"/>
      <c r="IE10" s="44"/>
      <c r="IF10" s="45" t="str">
        <f aca="false">(IF(II10="","◄",""))</f>
        <v>◄</v>
      </c>
      <c r="IG10" s="46" t="n">
        <v>0.1</v>
      </c>
      <c r="IH10" s="47" t="n">
        <f aca="false">(IF(ID10&lt;&gt;"",1/2,0)+IF(IE10&lt;&gt;"",1,0))*IG10*IG$3*20</f>
        <v>0</v>
      </c>
      <c r="II10" s="48" t="str">
        <f aca="false">IF(COUNTBLANK(IB10:IE10)=3,1,"")</f>
        <v/>
      </c>
      <c r="IJ10" s="49" t="n">
        <f aca="false">IF(IB10="",IG10,0)</f>
        <v>0.1</v>
      </c>
      <c r="IK10" s="50" t="n">
        <f aca="false">IF(IJ10=0,0,IG10/SUM(IJ$4:IJ$10))</f>
        <v>0.1</v>
      </c>
    </row>
    <row r="11" customFormat="false" ht="49.5" hidden="false" customHeight="true" outlineLevel="0" collapsed="false">
      <c r="A11" s="39" t="n">
        <v>8</v>
      </c>
      <c r="B11" s="40" t="s">
        <v>30</v>
      </c>
      <c r="C11" s="55" t="n">
        <f aca="false">$BZ$43</f>
        <v>0</v>
      </c>
      <c r="D11" s="30" t="s">
        <v>31</v>
      </c>
      <c r="E11" s="57" t="s">
        <v>32</v>
      </c>
      <c r="F11" s="58"/>
      <c r="G11" s="58"/>
      <c r="H11" s="58"/>
      <c r="I11" s="58"/>
      <c r="J11" s="59"/>
      <c r="K11" s="34" t="n">
        <v>0.25</v>
      </c>
      <c r="L11" s="35" t="n">
        <f aca="false">SUM(L12:L19)</f>
        <v>0</v>
      </c>
      <c r="M11" s="48"/>
      <c r="N11" s="37" t="n">
        <f aca="false">SUM(N12:N19)*K11</f>
        <v>0.225</v>
      </c>
      <c r="O11" s="38" t="n">
        <f aca="false">IF(SUM(N12:N19)=0,K11,0)</f>
        <v>0</v>
      </c>
      <c r="P11" s="58"/>
      <c r="Q11" s="58"/>
      <c r="R11" s="58"/>
      <c r="S11" s="58"/>
      <c r="T11" s="59"/>
      <c r="U11" s="34" t="n">
        <v>0.25</v>
      </c>
      <c r="V11" s="35" t="n">
        <f aca="false">SUM(V12:V19)</f>
        <v>0</v>
      </c>
      <c r="W11" s="48"/>
      <c r="X11" s="37" t="n">
        <f aca="false">SUM(X12:X19)*U11</f>
        <v>0.225</v>
      </c>
      <c r="Y11" s="38" t="n">
        <f aca="false">IF(SUM(X12:X19)=0,U11,0)</f>
        <v>0</v>
      </c>
      <c r="Z11" s="58"/>
      <c r="AA11" s="58"/>
      <c r="AB11" s="58"/>
      <c r="AC11" s="58"/>
      <c r="AD11" s="59"/>
      <c r="AE11" s="34" t="n">
        <v>0.25</v>
      </c>
      <c r="AF11" s="35" t="n">
        <f aca="false">SUM(AF12:AF19)</f>
        <v>0</v>
      </c>
      <c r="AG11" s="48"/>
      <c r="AH11" s="37" t="n">
        <f aca="false">SUM(AH12:AH19)*AE11</f>
        <v>0.225</v>
      </c>
      <c r="AI11" s="38" t="n">
        <f aca="false">IF(SUM(AH12:AH19)=0,AE11,0)</f>
        <v>0</v>
      </c>
      <c r="AJ11" s="58"/>
      <c r="AK11" s="58"/>
      <c r="AL11" s="58"/>
      <c r="AM11" s="58"/>
      <c r="AN11" s="59"/>
      <c r="AO11" s="34" t="n">
        <v>0.25</v>
      </c>
      <c r="AP11" s="35" t="n">
        <f aca="false">SUM(AP12:AP19)</f>
        <v>0</v>
      </c>
      <c r="AQ11" s="48"/>
      <c r="AR11" s="37" t="n">
        <f aca="false">SUM(AR12:AR19)*AO11</f>
        <v>0.225</v>
      </c>
      <c r="AS11" s="38" t="n">
        <f aca="false">IF(SUM(AR12:AR19)=0,AO11,0)</f>
        <v>0</v>
      </c>
      <c r="AT11" s="58"/>
      <c r="AU11" s="58"/>
      <c r="AV11" s="58"/>
      <c r="AW11" s="58"/>
      <c r="AX11" s="59"/>
      <c r="AY11" s="34" t="n">
        <v>0.25</v>
      </c>
      <c r="AZ11" s="35" t="n">
        <f aca="false">SUM(AZ12:AZ19)</f>
        <v>0</v>
      </c>
      <c r="BA11" s="48"/>
      <c r="BB11" s="37" t="n">
        <f aca="false">SUM(BB12:BB19)*AY11</f>
        <v>0.225</v>
      </c>
      <c r="BC11" s="38" t="n">
        <f aca="false">IF(SUM(BB12:BB19)=0,AY11,0)</f>
        <v>0</v>
      </c>
      <c r="BD11" s="58"/>
      <c r="BE11" s="58"/>
      <c r="BF11" s="58"/>
      <c r="BG11" s="58"/>
      <c r="BH11" s="59"/>
      <c r="BI11" s="34" t="n">
        <v>0.25</v>
      </c>
      <c r="BJ11" s="35" t="n">
        <f aca="false">SUM(BJ12:BJ19)</f>
        <v>0</v>
      </c>
      <c r="BK11" s="48"/>
      <c r="BL11" s="37" t="n">
        <f aca="false">SUM(BL12:BL19)*BI11</f>
        <v>0.225</v>
      </c>
      <c r="BM11" s="38" t="n">
        <f aca="false">IF(SUM(BL12:BL19)=0,BI11,0)</f>
        <v>0</v>
      </c>
      <c r="BN11" s="58"/>
      <c r="BO11" s="58"/>
      <c r="BP11" s="58"/>
      <c r="BQ11" s="58"/>
      <c r="BR11" s="59"/>
      <c r="BS11" s="34" t="n">
        <v>0.25</v>
      </c>
      <c r="BT11" s="35" t="n">
        <f aca="false">SUM(BT12:BT19)</f>
        <v>0</v>
      </c>
      <c r="BU11" s="48"/>
      <c r="BV11" s="37" t="n">
        <f aca="false">SUM(BV12:BV19)*BS11</f>
        <v>0.225</v>
      </c>
      <c r="BW11" s="38" t="n">
        <f aca="false">IF(SUM(BV12:BV19)=0,BS11,0)</f>
        <v>0</v>
      </c>
      <c r="BX11" s="58"/>
      <c r="BY11" s="58"/>
      <c r="BZ11" s="58"/>
      <c r="CA11" s="58"/>
      <c r="CB11" s="59"/>
      <c r="CC11" s="34" t="n">
        <v>0.25</v>
      </c>
      <c r="CD11" s="35" t="n">
        <f aca="false">SUM(CD12:CD19)</f>
        <v>0</v>
      </c>
      <c r="CE11" s="48"/>
      <c r="CF11" s="37" t="n">
        <f aca="false">SUM(CF12:CF19)*CC11</f>
        <v>0.225</v>
      </c>
      <c r="CG11" s="38" t="n">
        <f aca="false">IF(SUM(CF12:CF19)=0,CC11,0)</f>
        <v>0</v>
      </c>
      <c r="CH11" s="58"/>
      <c r="CI11" s="58"/>
      <c r="CJ11" s="58"/>
      <c r="CK11" s="58"/>
      <c r="CL11" s="59"/>
      <c r="CM11" s="34" t="n">
        <v>0.25</v>
      </c>
      <c r="CN11" s="35" t="n">
        <f aca="false">SUM(CN12:CN19)</f>
        <v>0</v>
      </c>
      <c r="CO11" s="48"/>
      <c r="CP11" s="37" t="n">
        <f aca="false">SUM(CP12:CP19)*CM11</f>
        <v>0.225</v>
      </c>
      <c r="CQ11" s="38" t="n">
        <f aca="false">IF(SUM(CP12:CP19)=0,CM11,0)</f>
        <v>0</v>
      </c>
      <c r="CR11" s="58"/>
      <c r="CS11" s="58"/>
      <c r="CT11" s="58"/>
      <c r="CU11" s="58"/>
      <c r="CV11" s="59"/>
      <c r="CW11" s="34" t="n">
        <v>0.25</v>
      </c>
      <c r="CX11" s="35" t="n">
        <f aca="false">SUM(CX12:CX19)</f>
        <v>0</v>
      </c>
      <c r="CY11" s="48"/>
      <c r="CZ11" s="37" t="n">
        <f aca="false">SUM(CZ12:CZ19)*CW11</f>
        <v>0.225</v>
      </c>
      <c r="DA11" s="38" t="n">
        <f aca="false">IF(SUM(CZ12:CZ19)=0,CW11,0)</f>
        <v>0</v>
      </c>
      <c r="DB11" s="58"/>
      <c r="DC11" s="58"/>
      <c r="DD11" s="58"/>
      <c r="DE11" s="58"/>
      <c r="DF11" s="59"/>
      <c r="DG11" s="34" t="n">
        <v>0.25</v>
      </c>
      <c r="DH11" s="35" t="n">
        <f aca="false">SUM(DH12:DH19)</f>
        <v>0</v>
      </c>
      <c r="DI11" s="48"/>
      <c r="DJ11" s="37" t="n">
        <f aca="false">SUM(DJ12:DJ19)*DG11</f>
        <v>0.225</v>
      </c>
      <c r="DK11" s="38" t="n">
        <f aca="false">IF(SUM(DJ12:DJ19)=0,DG11,0)</f>
        <v>0</v>
      </c>
      <c r="DL11" s="58"/>
      <c r="DM11" s="58"/>
      <c r="DN11" s="58"/>
      <c r="DO11" s="58"/>
      <c r="DP11" s="59"/>
      <c r="DQ11" s="34" t="n">
        <v>0.25</v>
      </c>
      <c r="DR11" s="35" t="n">
        <f aca="false">SUM(DR12:DR19)</f>
        <v>0</v>
      </c>
      <c r="DS11" s="48"/>
      <c r="DT11" s="37" t="n">
        <f aca="false">SUM(DT12:DT19)*DQ11</f>
        <v>0.225</v>
      </c>
      <c r="DU11" s="38" t="n">
        <f aca="false">IF(SUM(DT12:DT19)=0,DQ11,0)</f>
        <v>0</v>
      </c>
      <c r="DV11" s="58"/>
      <c r="DW11" s="58"/>
      <c r="DX11" s="58"/>
      <c r="DY11" s="58"/>
      <c r="DZ11" s="59"/>
      <c r="EA11" s="34" t="n">
        <v>0.25</v>
      </c>
      <c r="EB11" s="35" t="n">
        <f aca="false">SUM(EB12:EB19)</f>
        <v>0</v>
      </c>
      <c r="EC11" s="48"/>
      <c r="ED11" s="37" t="n">
        <f aca="false">SUM(ED12:ED19)*EA11</f>
        <v>0.225</v>
      </c>
      <c r="EE11" s="38" t="n">
        <f aca="false">IF(SUM(ED12:ED19)=0,EA11,0)</f>
        <v>0</v>
      </c>
      <c r="EF11" s="58"/>
      <c r="EG11" s="58"/>
      <c r="EH11" s="58"/>
      <c r="EI11" s="58"/>
      <c r="EJ11" s="59"/>
      <c r="EK11" s="34" t="n">
        <v>0.25</v>
      </c>
      <c r="EL11" s="35" t="n">
        <f aca="false">SUM(EL12:EL19)</f>
        <v>0</v>
      </c>
      <c r="EM11" s="48"/>
      <c r="EN11" s="37" t="n">
        <f aca="false">SUM(EN12:EN19)*EK11</f>
        <v>0.225</v>
      </c>
      <c r="EO11" s="38" t="n">
        <f aca="false">IF(SUM(EN12:EN19)=0,EK11,0)</f>
        <v>0</v>
      </c>
      <c r="EP11" s="58"/>
      <c r="EQ11" s="58"/>
      <c r="ER11" s="58"/>
      <c r="ES11" s="58"/>
      <c r="ET11" s="59"/>
      <c r="EU11" s="34" t="n">
        <v>0.25</v>
      </c>
      <c r="EV11" s="35" t="n">
        <f aca="false">SUM(EV12:EV19)</f>
        <v>0</v>
      </c>
      <c r="EW11" s="48"/>
      <c r="EX11" s="37" t="n">
        <f aca="false">SUM(EX12:EX19)*EU11</f>
        <v>0.225</v>
      </c>
      <c r="EY11" s="38" t="n">
        <f aca="false">IF(SUM(EX12:EX19)=0,EU11,0)</f>
        <v>0</v>
      </c>
      <c r="EZ11" s="58"/>
      <c r="FA11" s="58"/>
      <c r="FB11" s="58"/>
      <c r="FC11" s="58"/>
      <c r="FD11" s="59"/>
      <c r="FE11" s="34" t="n">
        <v>0.25</v>
      </c>
      <c r="FF11" s="35" t="n">
        <f aca="false">SUM(FF12:FF19)</f>
        <v>0</v>
      </c>
      <c r="FG11" s="48"/>
      <c r="FH11" s="37" t="n">
        <f aca="false">SUM(FH12:FH19)*FE11</f>
        <v>0.225</v>
      </c>
      <c r="FI11" s="38" t="n">
        <f aca="false">IF(SUM(FH12:FH19)=0,FE11,0)</f>
        <v>0</v>
      </c>
      <c r="FJ11" s="58"/>
      <c r="FK11" s="58"/>
      <c r="FL11" s="58"/>
      <c r="FM11" s="58"/>
      <c r="FN11" s="59"/>
      <c r="FO11" s="34" t="n">
        <v>0.25</v>
      </c>
      <c r="FP11" s="35" t="n">
        <f aca="false">SUM(FP12:FP19)</f>
        <v>0</v>
      </c>
      <c r="FQ11" s="48"/>
      <c r="FR11" s="37" t="n">
        <f aca="false">SUM(FR12:FR19)*FO11</f>
        <v>0.225</v>
      </c>
      <c r="FS11" s="38" t="n">
        <f aca="false">IF(SUM(FR12:FR19)=0,FO11,0)</f>
        <v>0</v>
      </c>
      <c r="FT11" s="58"/>
      <c r="FU11" s="58"/>
      <c r="FV11" s="58"/>
      <c r="FW11" s="58"/>
      <c r="FX11" s="59"/>
      <c r="FY11" s="34" t="n">
        <v>0.25</v>
      </c>
      <c r="FZ11" s="35" t="n">
        <f aca="false">SUM(FZ12:FZ19)</f>
        <v>0</v>
      </c>
      <c r="GA11" s="48"/>
      <c r="GB11" s="37" t="n">
        <f aca="false">SUM(GB12:GB19)*FY11</f>
        <v>0.225</v>
      </c>
      <c r="GC11" s="38" t="n">
        <f aca="false">IF(SUM(GB12:GB19)=0,FY11,0)</f>
        <v>0</v>
      </c>
      <c r="GD11" s="58"/>
      <c r="GE11" s="58"/>
      <c r="GF11" s="58"/>
      <c r="GG11" s="58"/>
      <c r="GH11" s="59"/>
      <c r="GI11" s="34" t="n">
        <v>0.25</v>
      </c>
      <c r="GJ11" s="35" t="n">
        <f aca="false">SUM(GJ12:GJ19)</f>
        <v>0</v>
      </c>
      <c r="GK11" s="48"/>
      <c r="GL11" s="37" t="n">
        <f aca="false">SUM(GL12:GL19)*GI11</f>
        <v>0.225</v>
      </c>
      <c r="GM11" s="38" t="n">
        <f aca="false">IF(SUM(GL12:GL19)=0,GI11,0)</f>
        <v>0</v>
      </c>
      <c r="GN11" s="58"/>
      <c r="GO11" s="58"/>
      <c r="GP11" s="58"/>
      <c r="GQ11" s="58"/>
      <c r="GR11" s="59"/>
      <c r="GS11" s="34" t="n">
        <v>0.25</v>
      </c>
      <c r="GT11" s="35" t="n">
        <f aca="false">SUM(GT12:GT19)</f>
        <v>0</v>
      </c>
      <c r="GU11" s="48"/>
      <c r="GV11" s="37" t="n">
        <f aca="false">SUM(GV12:GV19)*GS11</f>
        <v>0.225</v>
      </c>
      <c r="GW11" s="38" t="n">
        <f aca="false">IF(SUM(GV12:GV19)=0,GS11,0)</f>
        <v>0</v>
      </c>
      <c r="GX11" s="58"/>
      <c r="GY11" s="58"/>
      <c r="GZ11" s="58"/>
      <c r="HA11" s="58"/>
      <c r="HB11" s="59"/>
      <c r="HC11" s="34" t="n">
        <v>0.25</v>
      </c>
      <c r="HD11" s="35" t="n">
        <f aca="false">SUM(HD12:HD19)</f>
        <v>0</v>
      </c>
      <c r="HE11" s="48"/>
      <c r="HF11" s="37" t="n">
        <f aca="false">SUM(HF12:HF19)*HC11</f>
        <v>0.225</v>
      </c>
      <c r="HG11" s="38" t="n">
        <f aca="false">IF(SUM(HF12:HF19)=0,HC11,0)</f>
        <v>0</v>
      </c>
      <c r="HH11" s="58"/>
      <c r="HI11" s="58"/>
      <c r="HJ11" s="58"/>
      <c r="HK11" s="58"/>
      <c r="HL11" s="59"/>
      <c r="HM11" s="34" t="n">
        <v>0.25</v>
      </c>
      <c r="HN11" s="35" t="n">
        <f aca="false">SUM(HN12:HN19)</f>
        <v>0</v>
      </c>
      <c r="HO11" s="48"/>
      <c r="HP11" s="37" t="n">
        <f aca="false">SUM(HP12:HP19)*HM11</f>
        <v>0.225</v>
      </c>
      <c r="HQ11" s="38" t="n">
        <f aca="false">IF(SUM(HP12:HP19)=0,HM11,0)</f>
        <v>0</v>
      </c>
      <c r="HR11" s="58"/>
      <c r="HS11" s="58"/>
      <c r="HT11" s="58"/>
      <c r="HU11" s="58"/>
      <c r="HV11" s="59"/>
      <c r="HW11" s="34" t="n">
        <v>0.25</v>
      </c>
      <c r="HX11" s="35" t="n">
        <f aca="false">SUM(HX12:HX19)</f>
        <v>0</v>
      </c>
      <c r="HY11" s="48"/>
      <c r="HZ11" s="37" t="n">
        <f aca="false">SUM(HZ12:HZ19)*HW11</f>
        <v>0.225</v>
      </c>
      <c r="IA11" s="38" t="n">
        <f aca="false">IF(SUM(HZ12:HZ19)=0,HW11,0)</f>
        <v>0</v>
      </c>
      <c r="IB11" s="58"/>
      <c r="IC11" s="58"/>
      <c r="ID11" s="58"/>
      <c r="IE11" s="58"/>
      <c r="IF11" s="59"/>
      <c r="IG11" s="34" t="n">
        <v>0.25</v>
      </c>
      <c r="IH11" s="35" t="n">
        <f aca="false">SUM(IH12:IH19)</f>
        <v>0</v>
      </c>
      <c r="II11" s="48"/>
      <c r="IJ11" s="37" t="n">
        <f aca="false">SUM(IJ12:IJ19)*IG11</f>
        <v>0.225</v>
      </c>
      <c r="IK11" s="38" t="n">
        <f aca="false">IF(SUM(IJ12:IJ19)=0,IG11,0)</f>
        <v>0</v>
      </c>
    </row>
    <row r="12" customFormat="false" ht="49.5" hidden="false" customHeight="true" outlineLevel="0" collapsed="false">
      <c r="A12" s="39" t="n">
        <v>9</v>
      </c>
      <c r="B12" s="40" t="s">
        <v>33</v>
      </c>
      <c r="C12" s="55" t="n">
        <f aca="false">$CJ$43</f>
        <v>0</v>
      </c>
      <c r="D12" s="60" t="s">
        <v>34</v>
      </c>
      <c r="E12" s="61" t="s">
        <v>35</v>
      </c>
      <c r="F12" s="62"/>
      <c r="G12" s="62"/>
      <c r="H12" s="62"/>
      <c r="I12" s="44"/>
      <c r="J12" s="45" t="str">
        <f aca="false">(IF(M12="","◄",""))</f>
        <v>◄</v>
      </c>
      <c r="K12" s="46" t="n">
        <v>0.1</v>
      </c>
      <c r="L12" s="47" t="n">
        <f aca="false">(IF(H12&lt;&gt;"",1/2,0)+IF(I12&lt;&gt;"",1,0))*K12*K$11*20</f>
        <v>0</v>
      </c>
      <c r="M12" s="48" t="str">
        <f aca="false">IF(COUNTBLANK(F12:I12)=3,1,"")</f>
        <v/>
      </c>
      <c r="N12" s="49" t="n">
        <f aca="false">IF(F12="",K12,0)</f>
        <v>0.1</v>
      </c>
      <c r="O12" s="50" t="n">
        <f aca="false">IF(N12=0,0,K12/SUM(N$12:N$19))</f>
        <v>0.111111111111111</v>
      </c>
      <c r="P12" s="62"/>
      <c r="Q12" s="62"/>
      <c r="R12" s="62"/>
      <c r="S12" s="44"/>
      <c r="T12" s="45" t="str">
        <f aca="false">(IF(W12="","◄",""))</f>
        <v>◄</v>
      </c>
      <c r="U12" s="46" t="n">
        <v>0.1</v>
      </c>
      <c r="V12" s="47" t="n">
        <f aca="false">(IF(R12&lt;&gt;"",1/2,0)+IF(S12&lt;&gt;"",1,0))*U12*U$11*20</f>
        <v>0</v>
      </c>
      <c r="W12" s="48" t="str">
        <f aca="false">IF(COUNTBLANK(P12:S12)=3,1,"")</f>
        <v/>
      </c>
      <c r="X12" s="49" t="n">
        <f aca="false">IF(P12="",U12,0)</f>
        <v>0.1</v>
      </c>
      <c r="Y12" s="50" t="n">
        <f aca="false">IF(X12=0,0,U12/SUM(X$12:X$19))</f>
        <v>0.111111111111111</v>
      </c>
      <c r="Z12" s="62"/>
      <c r="AA12" s="62"/>
      <c r="AB12" s="62"/>
      <c r="AC12" s="44"/>
      <c r="AD12" s="45" t="str">
        <f aca="false">(IF(AG12="","◄",""))</f>
        <v>◄</v>
      </c>
      <c r="AE12" s="46" t="n">
        <v>0.1</v>
      </c>
      <c r="AF12" s="47" t="n">
        <f aca="false">(IF(AB12&lt;&gt;"",1/2,0)+IF(AC12&lt;&gt;"",1,0))*AE12*AE$11*20</f>
        <v>0</v>
      </c>
      <c r="AG12" s="48" t="str">
        <f aca="false">IF(COUNTBLANK(Z12:AC12)=3,1,"")</f>
        <v/>
      </c>
      <c r="AH12" s="49" t="n">
        <f aca="false">IF(Z12="",AE12,0)</f>
        <v>0.1</v>
      </c>
      <c r="AI12" s="50" t="n">
        <f aca="false">IF(AH12=0,0,AE12/SUM(AH$12:AH$19))</f>
        <v>0.111111111111111</v>
      </c>
      <c r="AJ12" s="62"/>
      <c r="AK12" s="62"/>
      <c r="AL12" s="62"/>
      <c r="AM12" s="44"/>
      <c r="AN12" s="45" t="str">
        <f aca="false">(IF(AQ12="","◄",""))</f>
        <v>◄</v>
      </c>
      <c r="AO12" s="46" t="n">
        <v>0.1</v>
      </c>
      <c r="AP12" s="47" t="n">
        <f aca="false">(IF(AL12&lt;&gt;"",1/2,0)+IF(AM12&lt;&gt;"",1,0))*AO12*AO$11*20</f>
        <v>0</v>
      </c>
      <c r="AQ12" s="48" t="str">
        <f aca="false">IF(COUNTBLANK(AJ12:AM12)=3,1,"")</f>
        <v/>
      </c>
      <c r="AR12" s="49" t="n">
        <f aca="false">IF(AJ12="",AO12,0)</f>
        <v>0.1</v>
      </c>
      <c r="AS12" s="50" t="n">
        <f aca="false">IF(AR12=0,0,AO12/SUM(AR$12:AR$19))</f>
        <v>0.111111111111111</v>
      </c>
      <c r="AT12" s="62"/>
      <c r="AU12" s="62"/>
      <c r="AV12" s="62"/>
      <c r="AW12" s="44"/>
      <c r="AX12" s="45" t="str">
        <f aca="false">(IF(BA12="","◄",""))</f>
        <v>◄</v>
      </c>
      <c r="AY12" s="46" t="n">
        <v>0.1</v>
      </c>
      <c r="AZ12" s="47" t="n">
        <f aca="false">(IF(AV12&lt;&gt;"",1/2,0)+IF(AW12&lt;&gt;"",1,0))*AY12*AY$11*20</f>
        <v>0</v>
      </c>
      <c r="BA12" s="48" t="str">
        <f aca="false">IF(COUNTBLANK(AT12:AW12)=3,1,"")</f>
        <v/>
      </c>
      <c r="BB12" s="49" t="n">
        <f aca="false">IF(AT12="",AY12,0)</f>
        <v>0.1</v>
      </c>
      <c r="BC12" s="50" t="n">
        <f aca="false">IF(BB12=0,0,AY12/SUM(BB$12:BB$19))</f>
        <v>0.111111111111111</v>
      </c>
      <c r="BD12" s="62"/>
      <c r="BE12" s="62"/>
      <c r="BF12" s="62"/>
      <c r="BG12" s="44"/>
      <c r="BH12" s="45" t="str">
        <f aca="false">(IF(BK12="","◄",""))</f>
        <v>◄</v>
      </c>
      <c r="BI12" s="46" t="n">
        <v>0.1</v>
      </c>
      <c r="BJ12" s="47" t="n">
        <f aca="false">(IF(BF12&lt;&gt;"",1/2,0)+IF(BG12&lt;&gt;"",1,0))*BI12*BI$11*20</f>
        <v>0</v>
      </c>
      <c r="BK12" s="48" t="str">
        <f aca="false">IF(COUNTBLANK(BD12:BG12)=3,1,"")</f>
        <v/>
      </c>
      <c r="BL12" s="49" t="n">
        <f aca="false">IF(BD12="",BI12,0)</f>
        <v>0.1</v>
      </c>
      <c r="BM12" s="50" t="n">
        <f aca="false">IF(BL12=0,0,BI12/SUM(BL$12:BL$19))</f>
        <v>0.111111111111111</v>
      </c>
      <c r="BN12" s="62"/>
      <c r="BO12" s="62"/>
      <c r="BP12" s="62"/>
      <c r="BQ12" s="44"/>
      <c r="BR12" s="45" t="str">
        <f aca="false">(IF(BU12="","◄",""))</f>
        <v>◄</v>
      </c>
      <c r="BS12" s="46" t="n">
        <v>0.1</v>
      </c>
      <c r="BT12" s="47" t="n">
        <f aca="false">(IF(BP12&lt;&gt;"",1/2,0)+IF(BQ12&lt;&gt;"",1,0))*BS12*BS$11*20</f>
        <v>0</v>
      </c>
      <c r="BU12" s="48" t="str">
        <f aca="false">IF(COUNTBLANK(BN12:BQ12)=3,1,"")</f>
        <v/>
      </c>
      <c r="BV12" s="49" t="n">
        <f aca="false">IF(BN12="",BS12,0)</f>
        <v>0.1</v>
      </c>
      <c r="BW12" s="50" t="n">
        <f aca="false">IF(BV12=0,0,BS12/SUM(BV$12:BV$19))</f>
        <v>0.111111111111111</v>
      </c>
      <c r="BX12" s="62"/>
      <c r="BY12" s="62"/>
      <c r="BZ12" s="62"/>
      <c r="CA12" s="44"/>
      <c r="CB12" s="45" t="str">
        <f aca="false">(IF(CE12="","◄",""))</f>
        <v>◄</v>
      </c>
      <c r="CC12" s="46" t="n">
        <v>0.1</v>
      </c>
      <c r="CD12" s="47" t="n">
        <f aca="false">(IF(BZ12&lt;&gt;"",1/2,0)+IF(CA12&lt;&gt;"",1,0))*CC12*CC$11*20</f>
        <v>0</v>
      </c>
      <c r="CE12" s="48" t="str">
        <f aca="false">IF(COUNTBLANK(BX12:CA12)=3,1,"")</f>
        <v/>
      </c>
      <c r="CF12" s="49" t="n">
        <f aca="false">IF(BX12="",CC12,0)</f>
        <v>0.1</v>
      </c>
      <c r="CG12" s="50" t="n">
        <f aca="false">IF(CF12=0,0,CC12/SUM(CF$12:CF$19))</f>
        <v>0.111111111111111</v>
      </c>
      <c r="CH12" s="62"/>
      <c r="CI12" s="62"/>
      <c r="CJ12" s="62"/>
      <c r="CK12" s="44"/>
      <c r="CL12" s="45" t="str">
        <f aca="false">(IF(CO12="","◄",""))</f>
        <v>◄</v>
      </c>
      <c r="CM12" s="46" t="n">
        <v>0.1</v>
      </c>
      <c r="CN12" s="47" t="n">
        <f aca="false">(IF(CJ12&lt;&gt;"",1/2,0)+IF(CK12&lt;&gt;"",1,0))*CM12*CM$11*20</f>
        <v>0</v>
      </c>
      <c r="CO12" s="48" t="str">
        <f aca="false">IF(COUNTBLANK(CH12:CK12)=3,1,"")</f>
        <v/>
      </c>
      <c r="CP12" s="49" t="n">
        <f aca="false">IF(CH12="",CM12,0)</f>
        <v>0.1</v>
      </c>
      <c r="CQ12" s="50" t="n">
        <f aca="false">IF(CP12=0,0,CM12/SUM(CP$12:CP$19))</f>
        <v>0.111111111111111</v>
      </c>
      <c r="CR12" s="62"/>
      <c r="CS12" s="62"/>
      <c r="CT12" s="62"/>
      <c r="CU12" s="44"/>
      <c r="CV12" s="45" t="str">
        <f aca="false">(IF(CY12="","◄",""))</f>
        <v>◄</v>
      </c>
      <c r="CW12" s="46" t="n">
        <v>0.1</v>
      </c>
      <c r="CX12" s="47" t="n">
        <f aca="false">(IF(CT12&lt;&gt;"",1/2,0)+IF(CU12&lt;&gt;"",1,0))*CW12*CW$11*20</f>
        <v>0</v>
      </c>
      <c r="CY12" s="48" t="str">
        <f aca="false">IF(COUNTBLANK(CR12:CU12)=3,1,"")</f>
        <v/>
      </c>
      <c r="CZ12" s="49" t="n">
        <f aca="false">IF(CR12="",CW12,0)</f>
        <v>0.1</v>
      </c>
      <c r="DA12" s="50" t="n">
        <f aca="false">IF(CZ12=0,0,CW12/SUM(CZ$12:CZ$19))</f>
        <v>0.111111111111111</v>
      </c>
      <c r="DB12" s="62"/>
      <c r="DC12" s="62"/>
      <c r="DD12" s="62"/>
      <c r="DE12" s="44"/>
      <c r="DF12" s="45" t="str">
        <f aca="false">(IF(DI12="","◄",""))</f>
        <v>◄</v>
      </c>
      <c r="DG12" s="46" t="n">
        <v>0.1</v>
      </c>
      <c r="DH12" s="47" t="n">
        <f aca="false">(IF(DD12&lt;&gt;"",1/2,0)+IF(DE12&lt;&gt;"",1,0))*DG12*DG$11*20</f>
        <v>0</v>
      </c>
      <c r="DI12" s="48" t="str">
        <f aca="false">IF(COUNTBLANK(DB12:DE12)=3,1,"")</f>
        <v/>
      </c>
      <c r="DJ12" s="49" t="n">
        <f aca="false">IF(DB12="",DG12,0)</f>
        <v>0.1</v>
      </c>
      <c r="DK12" s="50" t="n">
        <f aca="false">IF(DJ12=0,0,DG12/SUM(DJ$12:DJ$19))</f>
        <v>0.111111111111111</v>
      </c>
      <c r="DL12" s="62"/>
      <c r="DM12" s="62"/>
      <c r="DN12" s="62"/>
      <c r="DO12" s="44"/>
      <c r="DP12" s="45" t="str">
        <f aca="false">(IF(DS12="","◄",""))</f>
        <v>◄</v>
      </c>
      <c r="DQ12" s="46" t="n">
        <v>0.1</v>
      </c>
      <c r="DR12" s="47" t="n">
        <f aca="false">(IF(DN12&lt;&gt;"",1/2,0)+IF(DO12&lt;&gt;"",1,0))*DQ12*DQ$11*20</f>
        <v>0</v>
      </c>
      <c r="DS12" s="48" t="str">
        <f aca="false">IF(COUNTBLANK(DL12:DO12)=3,1,"")</f>
        <v/>
      </c>
      <c r="DT12" s="49" t="n">
        <f aca="false">IF(DL12="",DQ12,0)</f>
        <v>0.1</v>
      </c>
      <c r="DU12" s="50" t="n">
        <f aca="false">IF(DT12=0,0,DQ12/SUM(DT$12:DT$19))</f>
        <v>0.111111111111111</v>
      </c>
      <c r="DV12" s="62"/>
      <c r="DW12" s="62"/>
      <c r="DX12" s="62"/>
      <c r="DY12" s="44"/>
      <c r="DZ12" s="45" t="str">
        <f aca="false">(IF(EC12="","◄",""))</f>
        <v>◄</v>
      </c>
      <c r="EA12" s="46" t="n">
        <v>0.1</v>
      </c>
      <c r="EB12" s="47" t="n">
        <f aca="false">(IF(DX12&lt;&gt;"",1/2,0)+IF(DY12&lt;&gt;"",1,0))*EA12*EA$11*20</f>
        <v>0</v>
      </c>
      <c r="EC12" s="48" t="str">
        <f aca="false">IF(COUNTBLANK(DV12:DY12)=3,1,"")</f>
        <v/>
      </c>
      <c r="ED12" s="49" t="n">
        <f aca="false">IF(DV12="",EA12,0)</f>
        <v>0.1</v>
      </c>
      <c r="EE12" s="50" t="n">
        <f aca="false">IF(ED12=0,0,EA12/SUM(ED$12:ED$19))</f>
        <v>0.111111111111111</v>
      </c>
      <c r="EF12" s="62"/>
      <c r="EG12" s="62"/>
      <c r="EH12" s="62"/>
      <c r="EI12" s="44"/>
      <c r="EJ12" s="45" t="str">
        <f aca="false">(IF(EM12="","◄",""))</f>
        <v>◄</v>
      </c>
      <c r="EK12" s="46" t="n">
        <v>0.1</v>
      </c>
      <c r="EL12" s="47" t="n">
        <f aca="false">(IF(EH12&lt;&gt;"",1/2,0)+IF(EI12&lt;&gt;"",1,0))*EK12*EK$11*20</f>
        <v>0</v>
      </c>
      <c r="EM12" s="48" t="str">
        <f aca="false">IF(COUNTBLANK(EF12:EI12)=3,1,"")</f>
        <v/>
      </c>
      <c r="EN12" s="49" t="n">
        <f aca="false">IF(EF12="",EK12,0)</f>
        <v>0.1</v>
      </c>
      <c r="EO12" s="50" t="n">
        <f aca="false">IF(EN12=0,0,EK12/SUM(EN$12:EN$19))</f>
        <v>0.111111111111111</v>
      </c>
      <c r="EP12" s="62"/>
      <c r="EQ12" s="62"/>
      <c r="ER12" s="62"/>
      <c r="ES12" s="44"/>
      <c r="ET12" s="45" t="str">
        <f aca="false">(IF(EW12="","◄",""))</f>
        <v>◄</v>
      </c>
      <c r="EU12" s="46" t="n">
        <v>0.1</v>
      </c>
      <c r="EV12" s="47" t="n">
        <f aca="false">(IF(ER12&lt;&gt;"",1/2,0)+IF(ES12&lt;&gt;"",1,0))*EU12*EU$11*20</f>
        <v>0</v>
      </c>
      <c r="EW12" s="48" t="str">
        <f aca="false">IF(COUNTBLANK(EP12:ES12)=3,1,"")</f>
        <v/>
      </c>
      <c r="EX12" s="49" t="n">
        <f aca="false">IF(EP12="",EU12,0)</f>
        <v>0.1</v>
      </c>
      <c r="EY12" s="50" t="n">
        <f aca="false">IF(EX12=0,0,EU12/SUM(EX$12:EX$19))</f>
        <v>0.111111111111111</v>
      </c>
      <c r="EZ12" s="62"/>
      <c r="FA12" s="62"/>
      <c r="FB12" s="62"/>
      <c r="FC12" s="44"/>
      <c r="FD12" s="45" t="str">
        <f aca="false">(IF(FG12="","◄",""))</f>
        <v>◄</v>
      </c>
      <c r="FE12" s="46" t="n">
        <v>0.1</v>
      </c>
      <c r="FF12" s="47" t="n">
        <f aca="false">(IF(FB12&lt;&gt;"",1/2,0)+IF(FC12&lt;&gt;"",1,0))*FE12*FE$11*20</f>
        <v>0</v>
      </c>
      <c r="FG12" s="48" t="str">
        <f aca="false">IF(COUNTBLANK(EZ12:FC12)=3,1,"")</f>
        <v/>
      </c>
      <c r="FH12" s="49" t="n">
        <f aca="false">IF(EZ12="",FE12,0)</f>
        <v>0.1</v>
      </c>
      <c r="FI12" s="50" t="n">
        <f aca="false">IF(FH12=0,0,FE12/SUM(FH$12:FH$19))</f>
        <v>0.111111111111111</v>
      </c>
      <c r="FJ12" s="62"/>
      <c r="FK12" s="62"/>
      <c r="FL12" s="62"/>
      <c r="FM12" s="44"/>
      <c r="FN12" s="45" t="str">
        <f aca="false">(IF(FQ12="","◄",""))</f>
        <v>◄</v>
      </c>
      <c r="FO12" s="46" t="n">
        <v>0.1</v>
      </c>
      <c r="FP12" s="47" t="n">
        <f aca="false">(IF(FL12&lt;&gt;"",1/2,0)+IF(FM12&lt;&gt;"",1,0))*FO12*FO$11*20</f>
        <v>0</v>
      </c>
      <c r="FQ12" s="48" t="str">
        <f aca="false">IF(COUNTBLANK(FJ12:FM12)=3,1,"")</f>
        <v/>
      </c>
      <c r="FR12" s="49" t="n">
        <f aca="false">IF(FJ12="",FO12,0)</f>
        <v>0.1</v>
      </c>
      <c r="FS12" s="50" t="n">
        <f aca="false">IF(FR12=0,0,FO12/SUM(FR$12:FR$19))</f>
        <v>0.111111111111111</v>
      </c>
      <c r="FT12" s="62"/>
      <c r="FU12" s="62"/>
      <c r="FV12" s="62"/>
      <c r="FW12" s="44"/>
      <c r="FX12" s="45" t="str">
        <f aca="false">(IF(GA12="","◄",""))</f>
        <v>◄</v>
      </c>
      <c r="FY12" s="46" t="n">
        <v>0.1</v>
      </c>
      <c r="FZ12" s="47" t="n">
        <f aca="false">(IF(FV12&lt;&gt;"",1/2,0)+IF(FW12&lt;&gt;"",1,0))*FY12*FY$11*20</f>
        <v>0</v>
      </c>
      <c r="GA12" s="48" t="str">
        <f aca="false">IF(COUNTBLANK(FT12:FW12)=3,1,"")</f>
        <v/>
      </c>
      <c r="GB12" s="49" t="n">
        <f aca="false">IF(FT12="",FY12,0)</f>
        <v>0.1</v>
      </c>
      <c r="GC12" s="50" t="n">
        <f aca="false">IF(GB12=0,0,FY12/SUM(GB$12:GB$19))</f>
        <v>0.111111111111111</v>
      </c>
      <c r="GD12" s="62"/>
      <c r="GE12" s="62"/>
      <c r="GF12" s="62"/>
      <c r="GG12" s="44"/>
      <c r="GH12" s="45" t="str">
        <f aca="false">(IF(GK12="","◄",""))</f>
        <v>◄</v>
      </c>
      <c r="GI12" s="46" t="n">
        <v>0.1</v>
      </c>
      <c r="GJ12" s="47" t="n">
        <f aca="false">(IF(GF12&lt;&gt;"",1/2,0)+IF(GG12&lt;&gt;"",1,0))*GI12*GI$11*20</f>
        <v>0</v>
      </c>
      <c r="GK12" s="48" t="str">
        <f aca="false">IF(COUNTBLANK(GD12:GG12)=3,1,"")</f>
        <v/>
      </c>
      <c r="GL12" s="49" t="n">
        <f aca="false">IF(GD12="",GI12,0)</f>
        <v>0.1</v>
      </c>
      <c r="GM12" s="50" t="n">
        <f aca="false">IF(GL12=0,0,GI12/SUM(GL$12:GL$19))</f>
        <v>0.111111111111111</v>
      </c>
      <c r="GN12" s="62"/>
      <c r="GO12" s="62"/>
      <c r="GP12" s="62"/>
      <c r="GQ12" s="44"/>
      <c r="GR12" s="45" t="str">
        <f aca="false">(IF(GU12="","◄",""))</f>
        <v>◄</v>
      </c>
      <c r="GS12" s="46" t="n">
        <v>0.1</v>
      </c>
      <c r="GT12" s="47" t="n">
        <f aca="false">(IF(GP12&lt;&gt;"",1/2,0)+IF(GQ12&lt;&gt;"",1,0))*GS12*GS$11*20</f>
        <v>0</v>
      </c>
      <c r="GU12" s="48" t="str">
        <f aca="false">IF(COUNTBLANK(GN12:GQ12)=3,1,"")</f>
        <v/>
      </c>
      <c r="GV12" s="49" t="n">
        <f aca="false">IF(GN12="",GS12,0)</f>
        <v>0.1</v>
      </c>
      <c r="GW12" s="50" t="n">
        <f aca="false">IF(GV12=0,0,GS12/SUM(GV$12:GV$19))</f>
        <v>0.111111111111111</v>
      </c>
      <c r="GX12" s="62"/>
      <c r="GY12" s="62"/>
      <c r="GZ12" s="62"/>
      <c r="HA12" s="44"/>
      <c r="HB12" s="45" t="str">
        <f aca="false">(IF(HE12="","◄",""))</f>
        <v>◄</v>
      </c>
      <c r="HC12" s="46" t="n">
        <v>0.1</v>
      </c>
      <c r="HD12" s="47" t="n">
        <f aca="false">(IF(GZ12&lt;&gt;"",1/2,0)+IF(HA12&lt;&gt;"",1,0))*HC12*HC$11*20</f>
        <v>0</v>
      </c>
      <c r="HE12" s="48" t="str">
        <f aca="false">IF(COUNTBLANK(GX12:HA12)=3,1,"")</f>
        <v/>
      </c>
      <c r="HF12" s="49" t="n">
        <f aca="false">IF(GX12="",HC12,0)</f>
        <v>0.1</v>
      </c>
      <c r="HG12" s="50" t="n">
        <f aca="false">IF(HF12=0,0,HC12/SUM(HF$12:HF$19))</f>
        <v>0.111111111111111</v>
      </c>
      <c r="HH12" s="62"/>
      <c r="HI12" s="62"/>
      <c r="HJ12" s="62"/>
      <c r="HK12" s="44"/>
      <c r="HL12" s="45" t="str">
        <f aca="false">(IF(HO12="","◄",""))</f>
        <v>◄</v>
      </c>
      <c r="HM12" s="46" t="n">
        <v>0.1</v>
      </c>
      <c r="HN12" s="47" t="n">
        <f aca="false">(IF(HJ12&lt;&gt;"",1/2,0)+IF(HK12&lt;&gt;"",1,0))*HM12*HM$11*20</f>
        <v>0</v>
      </c>
      <c r="HO12" s="48" t="str">
        <f aca="false">IF(COUNTBLANK(HH12:HK12)=3,1,"")</f>
        <v/>
      </c>
      <c r="HP12" s="49" t="n">
        <f aca="false">IF(HH12="",HM12,0)</f>
        <v>0.1</v>
      </c>
      <c r="HQ12" s="50" t="n">
        <f aca="false">IF(HP12=0,0,HM12/SUM(HP$12:HP$19))</f>
        <v>0.111111111111111</v>
      </c>
      <c r="HR12" s="62"/>
      <c r="HS12" s="62"/>
      <c r="HT12" s="62"/>
      <c r="HU12" s="44"/>
      <c r="HV12" s="45" t="str">
        <f aca="false">(IF(HY12="","◄",""))</f>
        <v>◄</v>
      </c>
      <c r="HW12" s="46" t="n">
        <v>0.1</v>
      </c>
      <c r="HX12" s="47" t="n">
        <f aca="false">(IF(HT12&lt;&gt;"",1/2,0)+IF(HU12&lt;&gt;"",1,0))*HW12*HW$11*20</f>
        <v>0</v>
      </c>
      <c r="HY12" s="48" t="str">
        <f aca="false">IF(COUNTBLANK(HR12:HU12)=3,1,"")</f>
        <v/>
      </c>
      <c r="HZ12" s="49" t="n">
        <f aca="false">IF(HR12="",HW12,0)</f>
        <v>0.1</v>
      </c>
      <c r="IA12" s="50" t="n">
        <f aca="false">IF(HZ12=0,0,HW12/SUM(HZ$12:HZ$19))</f>
        <v>0.111111111111111</v>
      </c>
      <c r="IB12" s="62"/>
      <c r="IC12" s="62"/>
      <c r="ID12" s="62"/>
      <c r="IE12" s="44"/>
      <c r="IF12" s="45" t="str">
        <f aca="false">(IF(II12="","◄",""))</f>
        <v>◄</v>
      </c>
      <c r="IG12" s="46" t="n">
        <v>0.1</v>
      </c>
      <c r="IH12" s="47" t="n">
        <f aca="false">(IF(ID12&lt;&gt;"",1/2,0)+IF(IE12&lt;&gt;"",1,0))*IG12*IG$11*20</f>
        <v>0</v>
      </c>
      <c r="II12" s="48" t="str">
        <f aca="false">IF(COUNTBLANK(IB12:IE12)=3,1,"")</f>
        <v/>
      </c>
      <c r="IJ12" s="49" t="n">
        <f aca="false">IF(IB12="",IG12,0)</f>
        <v>0.1</v>
      </c>
      <c r="IK12" s="50" t="n">
        <f aca="false">IF(IJ12=0,0,IG12/SUM(IJ$12:IJ$19))</f>
        <v>0.111111111111111</v>
      </c>
    </row>
    <row r="13" customFormat="false" ht="60" hidden="false" customHeight="true" outlineLevel="0" collapsed="false">
      <c r="A13" s="39" t="n">
        <v>10</v>
      </c>
      <c r="B13" s="40" t="s">
        <v>36</v>
      </c>
      <c r="C13" s="63" t="n">
        <f aca="false">$CT$43</f>
        <v>0</v>
      </c>
      <c r="D13" s="52" t="s">
        <v>34</v>
      </c>
      <c r="E13" s="53" t="s">
        <v>37</v>
      </c>
      <c r="F13" s="62"/>
      <c r="G13" s="62"/>
      <c r="H13" s="62"/>
      <c r="I13" s="44"/>
      <c r="J13" s="45" t="str">
        <f aca="false">(IF(M13="","◄",""))</f>
        <v>◄</v>
      </c>
      <c r="K13" s="46" t="n">
        <v>0.1</v>
      </c>
      <c r="L13" s="47" t="n">
        <f aca="false">(IF(H13&lt;&gt;"",1/2,0)+IF(I13&lt;&gt;"",1,0))*K13*K$11*20</f>
        <v>0</v>
      </c>
      <c r="M13" s="48" t="str">
        <f aca="false">IF(COUNTBLANK(F13:I13)=3,1,"")</f>
        <v/>
      </c>
      <c r="N13" s="49" t="n">
        <f aca="false">IF(F13="",K13,0)</f>
        <v>0.1</v>
      </c>
      <c r="O13" s="50" t="n">
        <f aca="false">IF(N13=0,0,K13/SUM(N$12:N$19))</f>
        <v>0.111111111111111</v>
      </c>
      <c r="P13" s="62"/>
      <c r="Q13" s="62"/>
      <c r="R13" s="62"/>
      <c r="S13" s="44"/>
      <c r="T13" s="45" t="str">
        <f aca="false">(IF(W13="","◄",""))</f>
        <v>◄</v>
      </c>
      <c r="U13" s="46" t="n">
        <v>0.1</v>
      </c>
      <c r="V13" s="47" t="n">
        <f aca="false">(IF(R13&lt;&gt;"",1/2,0)+IF(S13&lt;&gt;"",1,0))*U13*U$11*20</f>
        <v>0</v>
      </c>
      <c r="W13" s="48" t="str">
        <f aca="false">IF(COUNTBLANK(P13:S13)=3,1,"")</f>
        <v/>
      </c>
      <c r="X13" s="49" t="n">
        <f aca="false">IF(P13="",U13,0)</f>
        <v>0.1</v>
      </c>
      <c r="Y13" s="50" t="n">
        <f aca="false">IF(X13=0,0,U13/SUM(X$12:X$19))</f>
        <v>0.111111111111111</v>
      </c>
      <c r="Z13" s="62"/>
      <c r="AA13" s="62"/>
      <c r="AB13" s="62"/>
      <c r="AC13" s="44"/>
      <c r="AD13" s="45" t="str">
        <f aca="false">(IF(AG13="","◄",""))</f>
        <v>◄</v>
      </c>
      <c r="AE13" s="46" t="n">
        <v>0.1</v>
      </c>
      <c r="AF13" s="47" t="n">
        <f aca="false">(IF(AB13&lt;&gt;"",1/2,0)+IF(AC13&lt;&gt;"",1,0))*AE13*AE$11*20</f>
        <v>0</v>
      </c>
      <c r="AG13" s="48" t="str">
        <f aca="false">IF(COUNTBLANK(Z13:AC13)=3,1,"")</f>
        <v/>
      </c>
      <c r="AH13" s="49" t="n">
        <f aca="false">IF(Z13="",AE13,0)</f>
        <v>0.1</v>
      </c>
      <c r="AI13" s="50" t="n">
        <f aca="false">IF(AH13=0,0,AE13/SUM(AH$12:AH$19))</f>
        <v>0.111111111111111</v>
      </c>
      <c r="AJ13" s="62"/>
      <c r="AK13" s="62"/>
      <c r="AL13" s="62"/>
      <c r="AM13" s="44"/>
      <c r="AN13" s="45" t="str">
        <f aca="false">(IF(AQ13="","◄",""))</f>
        <v>◄</v>
      </c>
      <c r="AO13" s="46" t="n">
        <v>0.1</v>
      </c>
      <c r="AP13" s="47" t="n">
        <f aca="false">(IF(AL13&lt;&gt;"",1/2,0)+IF(AM13&lt;&gt;"",1,0))*AO13*AO$11*20</f>
        <v>0</v>
      </c>
      <c r="AQ13" s="48" t="str">
        <f aca="false">IF(COUNTBLANK(AJ13:AM13)=3,1,"")</f>
        <v/>
      </c>
      <c r="AR13" s="49" t="n">
        <f aca="false">IF(AJ13="",AO13,0)</f>
        <v>0.1</v>
      </c>
      <c r="AS13" s="50" t="n">
        <f aca="false">IF(AR13=0,0,AO13/SUM(AR$12:AR$19))</f>
        <v>0.111111111111111</v>
      </c>
      <c r="AT13" s="62"/>
      <c r="AU13" s="62"/>
      <c r="AV13" s="62"/>
      <c r="AW13" s="44"/>
      <c r="AX13" s="45" t="str">
        <f aca="false">(IF(BA13="","◄",""))</f>
        <v>◄</v>
      </c>
      <c r="AY13" s="46" t="n">
        <v>0.1</v>
      </c>
      <c r="AZ13" s="47" t="n">
        <f aca="false">(IF(AV13&lt;&gt;"",1/2,0)+IF(AW13&lt;&gt;"",1,0))*AY13*AY$11*20</f>
        <v>0</v>
      </c>
      <c r="BA13" s="48" t="str">
        <f aca="false">IF(COUNTBLANK(AT13:AW13)=3,1,"")</f>
        <v/>
      </c>
      <c r="BB13" s="49" t="n">
        <f aca="false">IF(AT13="",AY13,0)</f>
        <v>0.1</v>
      </c>
      <c r="BC13" s="50" t="n">
        <f aca="false">IF(BB13=0,0,AY13/SUM(BB$12:BB$19))</f>
        <v>0.111111111111111</v>
      </c>
      <c r="BD13" s="62"/>
      <c r="BE13" s="62"/>
      <c r="BF13" s="62"/>
      <c r="BG13" s="44"/>
      <c r="BH13" s="45" t="str">
        <f aca="false">(IF(BK13="","◄",""))</f>
        <v>◄</v>
      </c>
      <c r="BI13" s="46" t="n">
        <v>0.1</v>
      </c>
      <c r="BJ13" s="47" t="n">
        <f aca="false">(IF(BF13&lt;&gt;"",1/2,0)+IF(BG13&lt;&gt;"",1,0))*BI13*BI$11*20</f>
        <v>0</v>
      </c>
      <c r="BK13" s="48" t="str">
        <f aca="false">IF(COUNTBLANK(BD13:BG13)=3,1,"")</f>
        <v/>
      </c>
      <c r="BL13" s="49" t="n">
        <f aca="false">IF(BD13="",BI13,0)</f>
        <v>0.1</v>
      </c>
      <c r="BM13" s="50" t="n">
        <f aca="false">IF(BL13=0,0,BI13/SUM(BL$12:BL$19))</f>
        <v>0.111111111111111</v>
      </c>
      <c r="BN13" s="62"/>
      <c r="BO13" s="62"/>
      <c r="BP13" s="62"/>
      <c r="BQ13" s="44"/>
      <c r="BR13" s="45" t="str">
        <f aca="false">(IF(BU13="","◄",""))</f>
        <v>◄</v>
      </c>
      <c r="BS13" s="46" t="n">
        <v>0.1</v>
      </c>
      <c r="BT13" s="47" t="n">
        <f aca="false">(IF(BP13&lt;&gt;"",1/2,0)+IF(BQ13&lt;&gt;"",1,0))*BS13*BS$11*20</f>
        <v>0</v>
      </c>
      <c r="BU13" s="48" t="str">
        <f aca="false">IF(COUNTBLANK(BN13:BQ13)=3,1,"")</f>
        <v/>
      </c>
      <c r="BV13" s="49" t="n">
        <f aca="false">IF(BN13="",BS13,0)</f>
        <v>0.1</v>
      </c>
      <c r="BW13" s="50" t="n">
        <f aca="false">IF(BV13=0,0,BS13/SUM(BV$12:BV$19))</f>
        <v>0.111111111111111</v>
      </c>
      <c r="BX13" s="62"/>
      <c r="BY13" s="62"/>
      <c r="BZ13" s="62"/>
      <c r="CA13" s="44"/>
      <c r="CB13" s="45" t="str">
        <f aca="false">(IF(CE13="","◄",""))</f>
        <v>◄</v>
      </c>
      <c r="CC13" s="46" t="n">
        <v>0.1</v>
      </c>
      <c r="CD13" s="47" t="n">
        <f aca="false">(IF(BZ13&lt;&gt;"",1/2,0)+IF(CA13&lt;&gt;"",1,0))*CC13*CC$11*20</f>
        <v>0</v>
      </c>
      <c r="CE13" s="48" t="str">
        <f aca="false">IF(COUNTBLANK(BX13:CA13)=3,1,"")</f>
        <v/>
      </c>
      <c r="CF13" s="49" t="n">
        <f aca="false">IF(BX13="",CC13,0)</f>
        <v>0.1</v>
      </c>
      <c r="CG13" s="50" t="n">
        <f aca="false">IF(CF13=0,0,CC13/SUM(CF$12:CF$19))</f>
        <v>0.111111111111111</v>
      </c>
      <c r="CH13" s="62"/>
      <c r="CI13" s="62"/>
      <c r="CJ13" s="62"/>
      <c r="CK13" s="44"/>
      <c r="CL13" s="45" t="str">
        <f aca="false">(IF(CO13="","◄",""))</f>
        <v>◄</v>
      </c>
      <c r="CM13" s="46" t="n">
        <v>0.1</v>
      </c>
      <c r="CN13" s="47" t="n">
        <f aca="false">(IF(CJ13&lt;&gt;"",1/2,0)+IF(CK13&lt;&gt;"",1,0))*CM13*CM$11*20</f>
        <v>0</v>
      </c>
      <c r="CO13" s="48" t="str">
        <f aca="false">IF(COUNTBLANK(CH13:CK13)=3,1,"")</f>
        <v/>
      </c>
      <c r="CP13" s="49" t="n">
        <f aca="false">IF(CH13="",CM13,0)</f>
        <v>0.1</v>
      </c>
      <c r="CQ13" s="50" t="n">
        <f aca="false">IF(CP13=0,0,CM13/SUM(CP$12:CP$19))</f>
        <v>0.111111111111111</v>
      </c>
      <c r="CR13" s="62"/>
      <c r="CS13" s="62"/>
      <c r="CT13" s="62"/>
      <c r="CU13" s="44"/>
      <c r="CV13" s="45" t="str">
        <f aca="false">(IF(CY13="","◄",""))</f>
        <v>◄</v>
      </c>
      <c r="CW13" s="46" t="n">
        <v>0.1</v>
      </c>
      <c r="CX13" s="47" t="n">
        <f aca="false">(IF(CT13&lt;&gt;"",1/2,0)+IF(CU13&lt;&gt;"",1,0))*CW13*CW$11*20</f>
        <v>0</v>
      </c>
      <c r="CY13" s="48" t="str">
        <f aca="false">IF(COUNTBLANK(CR13:CU13)=3,1,"")</f>
        <v/>
      </c>
      <c r="CZ13" s="49" t="n">
        <f aca="false">IF(CR13="",CW13,0)</f>
        <v>0.1</v>
      </c>
      <c r="DA13" s="50" t="n">
        <f aca="false">IF(CZ13=0,0,CW13/SUM(CZ$12:CZ$19))</f>
        <v>0.111111111111111</v>
      </c>
      <c r="DB13" s="62"/>
      <c r="DC13" s="62"/>
      <c r="DD13" s="62"/>
      <c r="DE13" s="44"/>
      <c r="DF13" s="45" t="str">
        <f aca="false">(IF(DI13="","◄",""))</f>
        <v>◄</v>
      </c>
      <c r="DG13" s="46" t="n">
        <v>0.1</v>
      </c>
      <c r="DH13" s="47" t="n">
        <f aca="false">(IF(DD13&lt;&gt;"",1/2,0)+IF(DE13&lt;&gt;"",1,0))*DG13*DG$11*20</f>
        <v>0</v>
      </c>
      <c r="DI13" s="48" t="str">
        <f aca="false">IF(COUNTBLANK(DB13:DE13)=3,1,"")</f>
        <v/>
      </c>
      <c r="DJ13" s="49" t="n">
        <f aca="false">IF(DB13="",DG13,0)</f>
        <v>0.1</v>
      </c>
      <c r="DK13" s="50" t="n">
        <f aca="false">IF(DJ13=0,0,DG13/SUM(DJ$12:DJ$19))</f>
        <v>0.111111111111111</v>
      </c>
      <c r="DL13" s="62"/>
      <c r="DM13" s="62"/>
      <c r="DN13" s="62"/>
      <c r="DO13" s="44"/>
      <c r="DP13" s="45" t="str">
        <f aca="false">(IF(DS13="","◄",""))</f>
        <v>◄</v>
      </c>
      <c r="DQ13" s="46" t="n">
        <v>0.1</v>
      </c>
      <c r="DR13" s="47" t="n">
        <f aca="false">(IF(DN13&lt;&gt;"",1/2,0)+IF(DO13&lt;&gt;"",1,0))*DQ13*DQ$11*20</f>
        <v>0</v>
      </c>
      <c r="DS13" s="48" t="str">
        <f aca="false">IF(COUNTBLANK(DL13:DO13)=3,1,"")</f>
        <v/>
      </c>
      <c r="DT13" s="49" t="n">
        <f aca="false">IF(DL13="",DQ13,0)</f>
        <v>0.1</v>
      </c>
      <c r="DU13" s="50" t="n">
        <f aca="false">IF(DT13=0,0,DQ13/SUM(DT$12:DT$19))</f>
        <v>0.111111111111111</v>
      </c>
      <c r="DV13" s="62"/>
      <c r="DW13" s="62"/>
      <c r="DX13" s="62"/>
      <c r="DY13" s="44"/>
      <c r="DZ13" s="45" t="str">
        <f aca="false">(IF(EC13="","◄",""))</f>
        <v>◄</v>
      </c>
      <c r="EA13" s="46" t="n">
        <v>0.1</v>
      </c>
      <c r="EB13" s="47" t="n">
        <f aca="false">(IF(DX13&lt;&gt;"",1/2,0)+IF(DY13&lt;&gt;"",1,0))*EA13*EA$11*20</f>
        <v>0</v>
      </c>
      <c r="EC13" s="48" t="str">
        <f aca="false">IF(COUNTBLANK(DV13:DY13)=3,1,"")</f>
        <v/>
      </c>
      <c r="ED13" s="49" t="n">
        <f aca="false">IF(DV13="",EA13,0)</f>
        <v>0.1</v>
      </c>
      <c r="EE13" s="50" t="n">
        <f aca="false">IF(ED13=0,0,EA13/SUM(ED$12:ED$19))</f>
        <v>0.111111111111111</v>
      </c>
      <c r="EF13" s="62"/>
      <c r="EG13" s="62"/>
      <c r="EH13" s="62"/>
      <c r="EI13" s="44"/>
      <c r="EJ13" s="45" t="str">
        <f aca="false">(IF(EM13="","◄",""))</f>
        <v>◄</v>
      </c>
      <c r="EK13" s="46" t="n">
        <v>0.1</v>
      </c>
      <c r="EL13" s="47" t="n">
        <f aca="false">(IF(EH13&lt;&gt;"",1/2,0)+IF(EI13&lt;&gt;"",1,0))*EK13*EK$11*20</f>
        <v>0</v>
      </c>
      <c r="EM13" s="48" t="str">
        <f aca="false">IF(COUNTBLANK(EF13:EI13)=3,1,"")</f>
        <v/>
      </c>
      <c r="EN13" s="49" t="n">
        <f aca="false">IF(EF13="",EK13,0)</f>
        <v>0.1</v>
      </c>
      <c r="EO13" s="50" t="n">
        <f aca="false">IF(EN13=0,0,EK13/SUM(EN$12:EN$19))</f>
        <v>0.111111111111111</v>
      </c>
      <c r="EP13" s="62"/>
      <c r="EQ13" s="62"/>
      <c r="ER13" s="62"/>
      <c r="ES13" s="44"/>
      <c r="ET13" s="45" t="str">
        <f aca="false">(IF(EW13="","◄",""))</f>
        <v>◄</v>
      </c>
      <c r="EU13" s="46" t="n">
        <v>0.1</v>
      </c>
      <c r="EV13" s="47" t="n">
        <f aca="false">(IF(ER13&lt;&gt;"",1/2,0)+IF(ES13&lt;&gt;"",1,0))*EU13*EU$11*20</f>
        <v>0</v>
      </c>
      <c r="EW13" s="48" t="str">
        <f aca="false">IF(COUNTBLANK(EP13:ES13)=3,1,"")</f>
        <v/>
      </c>
      <c r="EX13" s="49" t="n">
        <f aca="false">IF(EP13="",EU13,0)</f>
        <v>0.1</v>
      </c>
      <c r="EY13" s="50" t="n">
        <f aca="false">IF(EX13=0,0,EU13/SUM(EX$12:EX$19))</f>
        <v>0.111111111111111</v>
      </c>
      <c r="EZ13" s="62"/>
      <c r="FA13" s="62"/>
      <c r="FB13" s="62"/>
      <c r="FC13" s="44"/>
      <c r="FD13" s="45" t="str">
        <f aca="false">(IF(FG13="","◄",""))</f>
        <v>◄</v>
      </c>
      <c r="FE13" s="46" t="n">
        <v>0.1</v>
      </c>
      <c r="FF13" s="47" t="n">
        <f aca="false">(IF(FB13&lt;&gt;"",1/2,0)+IF(FC13&lt;&gt;"",1,0))*FE13*FE$11*20</f>
        <v>0</v>
      </c>
      <c r="FG13" s="48" t="str">
        <f aca="false">IF(COUNTBLANK(EZ13:FC13)=3,1,"")</f>
        <v/>
      </c>
      <c r="FH13" s="49" t="n">
        <f aca="false">IF(EZ13="",FE13,0)</f>
        <v>0.1</v>
      </c>
      <c r="FI13" s="50" t="n">
        <f aca="false">IF(FH13=0,0,FE13/SUM(FH$12:FH$19))</f>
        <v>0.111111111111111</v>
      </c>
      <c r="FJ13" s="62"/>
      <c r="FK13" s="62"/>
      <c r="FL13" s="62"/>
      <c r="FM13" s="44"/>
      <c r="FN13" s="45" t="str">
        <f aca="false">(IF(FQ13="","◄",""))</f>
        <v>◄</v>
      </c>
      <c r="FO13" s="46" t="n">
        <v>0.1</v>
      </c>
      <c r="FP13" s="47" t="n">
        <f aca="false">(IF(FL13&lt;&gt;"",1/2,0)+IF(FM13&lt;&gt;"",1,0))*FO13*FO$11*20</f>
        <v>0</v>
      </c>
      <c r="FQ13" s="48" t="str">
        <f aca="false">IF(COUNTBLANK(FJ13:FM13)=3,1,"")</f>
        <v/>
      </c>
      <c r="FR13" s="49" t="n">
        <f aca="false">IF(FJ13="",FO13,0)</f>
        <v>0.1</v>
      </c>
      <c r="FS13" s="50" t="n">
        <f aca="false">IF(FR13=0,0,FO13/SUM(FR$12:FR$19))</f>
        <v>0.111111111111111</v>
      </c>
      <c r="FT13" s="62"/>
      <c r="FU13" s="62"/>
      <c r="FV13" s="62"/>
      <c r="FW13" s="44"/>
      <c r="FX13" s="45" t="str">
        <f aca="false">(IF(GA13="","◄",""))</f>
        <v>◄</v>
      </c>
      <c r="FY13" s="46" t="n">
        <v>0.1</v>
      </c>
      <c r="FZ13" s="47" t="n">
        <f aca="false">(IF(FV13&lt;&gt;"",1/2,0)+IF(FW13&lt;&gt;"",1,0))*FY13*FY$11*20</f>
        <v>0</v>
      </c>
      <c r="GA13" s="48" t="str">
        <f aca="false">IF(COUNTBLANK(FT13:FW13)=3,1,"")</f>
        <v/>
      </c>
      <c r="GB13" s="49" t="n">
        <f aca="false">IF(FT13="",FY13,0)</f>
        <v>0.1</v>
      </c>
      <c r="GC13" s="50" t="n">
        <f aca="false">IF(GB13=0,0,FY13/SUM(GB$12:GB$19))</f>
        <v>0.111111111111111</v>
      </c>
      <c r="GD13" s="62"/>
      <c r="GE13" s="62"/>
      <c r="GF13" s="62"/>
      <c r="GG13" s="44"/>
      <c r="GH13" s="45" t="str">
        <f aca="false">(IF(GK13="","◄",""))</f>
        <v>◄</v>
      </c>
      <c r="GI13" s="46" t="n">
        <v>0.1</v>
      </c>
      <c r="GJ13" s="47" t="n">
        <f aca="false">(IF(GF13&lt;&gt;"",1/2,0)+IF(GG13&lt;&gt;"",1,0))*GI13*GI$11*20</f>
        <v>0</v>
      </c>
      <c r="GK13" s="48" t="str">
        <f aca="false">IF(COUNTBLANK(GD13:GG13)=3,1,"")</f>
        <v/>
      </c>
      <c r="GL13" s="49" t="n">
        <f aca="false">IF(GD13="",GI13,0)</f>
        <v>0.1</v>
      </c>
      <c r="GM13" s="50" t="n">
        <f aca="false">IF(GL13=0,0,GI13/SUM(GL$12:GL$19))</f>
        <v>0.111111111111111</v>
      </c>
      <c r="GN13" s="62"/>
      <c r="GO13" s="62"/>
      <c r="GP13" s="62"/>
      <c r="GQ13" s="44"/>
      <c r="GR13" s="45" t="str">
        <f aca="false">(IF(GU13="","◄",""))</f>
        <v>◄</v>
      </c>
      <c r="GS13" s="46" t="n">
        <v>0.1</v>
      </c>
      <c r="GT13" s="47" t="n">
        <f aca="false">(IF(GP13&lt;&gt;"",1/2,0)+IF(GQ13&lt;&gt;"",1,0))*GS13*GS$11*20</f>
        <v>0</v>
      </c>
      <c r="GU13" s="48" t="str">
        <f aca="false">IF(COUNTBLANK(GN13:GQ13)=3,1,"")</f>
        <v/>
      </c>
      <c r="GV13" s="49" t="n">
        <f aca="false">IF(GN13="",GS13,0)</f>
        <v>0.1</v>
      </c>
      <c r="GW13" s="50" t="n">
        <f aca="false">IF(GV13=0,0,GS13/SUM(GV$12:GV$19))</f>
        <v>0.111111111111111</v>
      </c>
      <c r="GX13" s="62"/>
      <c r="GY13" s="62"/>
      <c r="GZ13" s="62"/>
      <c r="HA13" s="44"/>
      <c r="HB13" s="45" t="str">
        <f aca="false">(IF(HE13="","◄",""))</f>
        <v>◄</v>
      </c>
      <c r="HC13" s="46" t="n">
        <v>0.1</v>
      </c>
      <c r="HD13" s="47" t="n">
        <f aca="false">(IF(GZ13&lt;&gt;"",1/2,0)+IF(HA13&lt;&gt;"",1,0))*HC13*HC$11*20</f>
        <v>0</v>
      </c>
      <c r="HE13" s="48" t="str">
        <f aca="false">IF(COUNTBLANK(GX13:HA13)=3,1,"")</f>
        <v/>
      </c>
      <c r="HF13" s="49" t="n">
        <f aca="false">IF(GX13="",HC13,0)</f>
        <v>0.1</v>
      </c>
      <c r="HG13" s="50" t="n">
        <f aca="false">IF(HF13=0,0,HC13/SUM(HF$12:HF$19))</f>
        <v>0.111111111111111</v>
      </c>
      <c r="HH13" s="62"/>
      <c r="HI13" s="62"/>
      <c r="HJ13" s="62"/>
      <c r="HK13" s="44"/>
      <c r="HL13" s="45" t="str">
        <f aca="false">(IF(HO13="","◄",""))</f>
        <v>◄</v>
      </c>
      <c r="HM13" s="46" t="n">
        <v>0.1</v>
      </c>
      <c r="HN13" s="47" t="n">
        <f aca="false">(IF(HJ13&lt;&gt;"",1/2,0)+IF(HK13&lt;&gt;"",1,0))*HM13*HM$11*20</f>
        <v>0</v>
      </c>
      <c r="HO13" s="48" t="str">
        <f aca="false">IF(COUNTBLANK(HH13:HK13)=3,1,"")</f>
        <v/>
      </c>
      <c r="HP13" s="49" t="n">
        <f aca="false">IF(HH13="",HM13,0)</f>
        <v>0.1</v>
      </c>
      <c r="HQ13" s="50" t="n">
        <f aca="false">IF(HP13=0,0,HM13/SUM(HP$12:HP$19))</f>
        <v>0.111111111111111</v>
      </c>
      <c r="HR13" s="62"/>
      <c r="HS13" s="62"/>
      <c r="HT13" s="62"/>
      <c r="HU13" s="44"/>
      <c r="HV13" s="45" t="str">
        <f aca="false">(IF(HY13="","◄",""))</f>
        <v>◄</v>
      </c>
      <c r="HW13" s="46" t="n">
        <v>0.1</v>
      </c>
      <c r="HX13" s="47" t="n">
        <f aca="false">(IF(HT13&lt;&gt;"",1/2,0)+IF(HU13&lt;&gt;"",1,0))*HW13*HW$11*20</f>
        <v>0</v>
      </c>
      <c r="HY13" s="48" t="str">
        <f aca="false">IF(COUNTBLANK(HR13:HU13)=3,1,"")</f>
        <v/>
      </c>
      <c r="HZ13" s="49" t="n">
        <f aca="false">IF(HR13="",HW13,0)</f>
        <v>0.1</v>
      </c>
      <c r="IA13" s="50" t="n">
        <f aca="false">IF(HZ13=0,0,HW13/SUM(HZ$12:HZ$19))</f>
        <v>0.111111111111111</v>
      </c>
      <c r="IB13" s="62"/>
      <c r="IC13" s="62"/>
      <c r="ID13" s="62"/>
      <c r="IE13" s="44"/>
      <c r="IF13" s="45" t="str">
        <f aca="false">(IF(II13="","◄",""))</f>
        <v>◄</v>
      </c>
      <c r="IG13" s="46" t="n">
        <v>0.1</v>
      </c>
      <c r="IH13" s="47" t="n">
        <f aca="false">(IF(ID13&lt;&gt;"",1/2,0)+IF(IE13&lt;&gt;"",1,0))*IG13*IG$11*20</f>
        <v>0</v>
      </c>
      <c r="II13" s="48" t="str">
        <f aca="false">IF(COUNTBLANK(IB13:IE13)=3,1,"")</f>
        <v/>
      </c>
      <c r="IJ13" s="49" t="n">
        <f aca="false">IF(IB13="",IG13,0)</f>
        <v>0.1</v>
      </c>
      <c r="IK13" s="50" t="n">
        <f aca="false">IF(IJ13=0,0,IG13/SUM(IJ$12:IJ$19))</f>
        <v>0.111111111111111</v>
      </c>
    </row>
    <row r="14" customFormat="false" ht="49.5" hidden="false" customHeight="true" outlineLevel="0" collapsed="false">
      <c r="A14" s="39" t="n">
        <v>11</v>
      </c>
      <c r="B14" s="40" t="s">
        <v>38</v>
      </c>
      <c r="C14" s="63" t="n">
        <f aca="false">$DD$43</f>
        <v>0</v>
      </c>
      <c r="D14" s="52" t="s">
        <v>39</v>
      </c>
      <c r="E14" s="53" t="s">
        <v>40</v>
      </c>
      <c r="F14" s="62"/>
      <c r="G14" s="62"/>
      <c r="H14" s="62"/>
      <c r="I14" s="44"/>
      <c r="J14" s="45" t="str">
        <f aca="false">(IF(M14="","◄",""))</f>
        <v>◄</v>
      </c>
      <c r="K14" s="46" t="n">
        <v>0.1</v>
      </c>
      <c r="L14" s="47" t="n">
        <f aca="false">(IF(H14&lt;&gt;"",1/2,0)+IF(I14&lt;&gt;"",1,0))*K14*K$11*20</f>
        <v>0</v>
      </c>
      <c r="M14" s="48" t="str">
        <f aca="false">IF(COUNTBLANK(F14:I14)=3,1,"")</f>
        <v/>
      </c>
      <c r="N14" s="49" t="n">
        <f aca="false">IF(F14="",K14,0)</f>
        <v>0.1</v>
      </c>
      <c r="O14" s="50" t="n">
        <f aca="false">IF(N14=0,0,K14/SUM(N$12:N$19))</f>
        <v>0.111111111111111</v>
      </c>
      <c r="P14" s="62"/>
      <c r="Q14" s="62"/>
      <c r="R14" s="62"/>
      <c r="S14" s="44"/>
      <c r="T14" s="45" t="str">
        <f aca="false">(IF(W14="","◄",""))</f>
        <v>◄</v>
      </c>
      <c r="U14" s="46" t="n">
        <v>0.1</v>
      </c>
      <c r="V14" s="47" t="n">
        <f aca="false">(IF(R14&lt;&gt;"",1/2,0)+IF(S14&lt;&gt;"",1,0))*U14*U$11*20</f>
        <v>0</v>
      </c>
      <c r="W14" s="48" t="str">
        <f aca="false">IF(COUNTBLANK(P14:S14)=3,1,"")</f>
        <v/>
      </c>
      <c r="X14" s="49" t="n">
        <f aca="false">IF(P14="",U14,0)</f>
        <v>0.1</v>
      </c>
      <c r="Y14" s="50" t="n">
        <f aca="false">IF(X14=0,0,U14/SUM(X$12:X$19))</f>
        <v>0.111111111111111</v>
      </c>
      <c r="Z14" s="62"/>
      <c r="AA14" s="62"/>
      <c r="AB14" s="62"/>
      <c r="AC14" s="44"/>
      <c r="AD14" s="45" t="str">
        <f aca="false">(IF(AG14="","◄",""))</f>
        <v>◄</v>
      </c>
      <c r="AE14" s="46" t="n">
        <v>0.1</v>
      </c>
      <c r="AF14" s="47" t="n">
        <f aca="false">(IF(AB14&lt;&gt;"",1/2,0)+IF(AC14&lt;&gt;"",1,0))*AE14*AE$11*20</f>
        <v>0</v>
      </c>
      <c r="AG14" s="48" t="str">
        <f aca="false">IF(COUNTBLANK(Z14:AC14)=3,1,"")</f>
        <v/>
      </c>
      <c r="AH14" s="49" t="n">
        <f aca="false">IF(Z14="",AE14,0)</f>
        <v>0.1</v>
      </c>
      <c r="AI14" s="50" t="n">
        <f aca="false">IF(AH14=0,0,AE14/SUM(AH$12:AH$19))</f>
        <v>0.111111111111111</v>
      </c>
      <c r="AJ14" s="62"/>
      <c r="AK14" s="62"/>
      <c r="AL14" s="62"/>
      <c r="AM14" s="44"/>
      <c r="AN14" s="45" t="str">
        <f aca="false">(IF(AQ14="","◄",""))</f>
        <v>◄</v>
      </c>
      <c r="AO14" s="46" t="n">
        <v>0.1</v>
      </c>
      <c r="AP14" s="47" t="n">
        <f aca="false">(IF(AL14&lt;&gt;"",1/2,0)+IF(AM14&lt;&gt;"",1,0))*AO14*AO$11*20</f>
        <v>0</v>
      </c>
      <c r="AQ14" s="48" t="str">
        <f aca="false">IF(COUNTBLANK(AJ14:AM14)=3,1,"")</f>
        <v/>
      </c>
      <c r="AR14" s="49" t="n">
        <f aca="false">IF(AJ14="",AO14,0)</f>
        <v>0.1</v>
      </c>
      <c r="AS14" s="50" t="n">
        <f aca="false">IF(AR14=0,0,AO14/SUM(AR$12:AR$19))</f>
        <v>0.111111111111111</v>
      </c>
      <c r="AT14" s="62"/>
      <c r="AU14" s="62"/>
      <c r="AV14" s="62"/>
      <c r="AW14" s="44"/>
      <c r="AX14" s="45" t="str">
        <f aca="false">(IF(BA14="","◄",""))</f>
        <v>◄</v>
      </c>
      <c r="AY14" s="46" t="n">
        <v>0.1</v>
      </c>
      <c r="AZ14" s="47" t="n">
        <f aca="false">(IF(AV14&lt;&gt;"",1/2,0)+IF(AW14&lt;&gt;"",1,0))*AY14*AY$11*20</f>
        <v>0</v>
      </c>
      <c r="BA14" s="48" t="str">
        <f aca="false">IF(COUNTBLANK(AT14:AW14)=3,1,"")</f>
        <v/>
      </c>
      <c r="BB14" s="49" t="n">
        <f aca="false">IF(AT14="",AY14,0)</f>
        <v>0.1</v>
      </c>
      <c r="BC14" s="50" t="n">
        <f aca="false">IF(BB14=0,0,AY14/SUM(BB$12:BB$19))</f>
        <v>0.111111111111111</v>
      </c>
      <c r="BD14" s="62"/>
      <c r="BE14" s="62"/>
      <c r="BF14" s="62"/>
      <c r="BG14" s="44"/>
      <c r="BH14" s="45" t="str">
        <f aca="false">(IF(BK14="","◄",""))</f>
        <v>◄</v>
      </c>
      <c r="BI14" s="46" t="n">
        <v>0.1</v>
      </c>
      <c r="BJ14" s="47" t="n">
        <f aca="false">(IF(BF14&lt;&gt;"",1/2,0)+IF(BG14&lt;&gt;"",1,0))*BI14*BI$11*20</f>
        <v>0</v>
      </c>
      <c r="BK14" s="48" t="str">
        <f aca="false">IF(COUNTBLANK(BD14:BG14)=3,1,"")</f>
        <v/>
      </c>
      <c r="BL14" s="49" t="n">
        <f aca="false">IF(BD14="",BI14,0)</f>
        <v>0.1</v>
      </c>
      <c r="BM14" s="50" t="n">
        <f aca="false">IF(BL14=0,0,BI14/SUM(BL$12:BL$19))</f>
        <v>0.111111111111111</v>
      </c>
      <c r="BN14" s="62"/>
      <c r="BO14" s="62"/>
      <c r="BP14" s="62"/>
      <c r="BQ14" s="44"/>
      <c r="BR14" s="45" t="str">
        <f aca="false">(IF(BU14="","◄",""))</f>
        <v>◄</v>
      </c>
      <c r="BS14" s="46" t="n">
        <v>0.1</v>
      </c>
      <c r="BT14" s="47" t="n">
        <f aca="false">(IF(BP14&lt;&gt;"",1/2,0)+IF(BQ14&lt;&gt;"",1,0))*BS14*BS$11*20</f>
        <v>0</v>
      </c>
      <c r="BU14" s="48" t="str">
        <f aca="false">IF(COUNTBLANK(BN14:BQ14)=3,1,"")</f>
        <v/>
      </c>
      <c r="BV14" s="49" t="n">
        <f aca="false">IF(BN14="",BS14,0)</f>
        <v>0.1</v>
      </c>
      <c r="BW14" s="50" t="n">
        <f aca="false">IF(BV14=0,0,BS14/SUM(BV$12:BV$19))</f>
        <v>0.111111111111111</v>
      </c>
      <c r="BX14" s="62"/>
      <c r="BY14" s="62"/>
      <c r="BZ14" s="62"/>
      <c r="CA14" s="44"/>
      <c r="CB14" s="45" t="str">
        <f aca="false">(IF(CE14="","◄",""))</f>
        <v>◄</v>
      </c>
      <c r="CC14" s="46" t="n">
        <v>0.1</v>
      </c>
      <c r="CD14" s="47" t="n">
        <f aca="false">(IF(BZ14&lt;&gt;"",1/2,0)+IF(CA14&lt;&gt;"",1,0))*CC14*CC$11*20</f>
        <v>0</v>
      </c>
      <c r="CE14" s="48" t="str">
        <f aca="false">IF(COUNTBLANK(BX14:CA14)=3,1,"")</f>
        <v/>
      </c>
      <c r="CF14" s="49" t="n">
        <f aca="false">IF(BX14="",CC14,0)</f>
        <v>0.1</v>
      </c>
      <c r="CG14" s="50" t="n">
        <f aca="false">IF(CF14=0,0,CC14/SUM(CF$12:CF$19))</f>
        <v>0.111111111111111</v>
      </c>
      <c r="CH14" s="62"/>
      <c r="CI14" s="62"/>
      <c r="CJ14" s="62"/>
      <c r="CK14" s="44"/>
      <c r="CL14" s="45" t="str">
        <f aca="false">(IF(CO14="","◄",""))</f>
        <v>◄</v>
      </c>
      <c r="CM14" s="46" t="n">
        <v>0.1</v>
      </c>
      <c r="CN14" s="47" t="n">
        <f aca="false">(IF(CJ14&lt;&gt;"",1/2,0)+IF(CK14&lt;&gt;"",1,0))*CM14*CM$11*20</f>
        <v>0</v>
      </c>
      <c r="CO14" s="48" t="str">
        <f aca="false">IF(COUNTBLANK(CH14:CK14)=3,1,"")</f>
        <v/>
      </c>
      <c r="CP14" s="49" t="n">
        <f aca="false">IF(CH14="",CM14,0)</f>
        <v>0.1</v>
      </c>
      <c r="CQ14" s="50" t="n">
        <f aca="false">IF(CP14=0,0,CM14/SUM(CP$12:CP$19))</f>
        <v>0.111111111111111</v>
      </c>
      <c r="CR14" s="62"/>
      <c r="CS14" s="62"/>
      <c r="CT14" s="62"/>
      <c r="CU14" s="44"/>
      <c r="CV14" s="45" t="str">
        <f aca="false">(IF(CY14="","◄",""))</f>
        <v>◄</v>
      </c>
      <c r="CW14" s="46" t="n">
        <v>0.1</v>
      </c>
      <c r="CX14" s="47" t="n">
        <f aca="false">(IF(CT14&lt;&gt;"",1/2,0)+IF(CU14&lt;&gt;"",1,0))*CW14*CW$11*20</f>
        <v>0</v>
      </c>
      <c r="CY14" s="48" t="str">
        <f aca="false">IF(COUNTBLANK(CR14:CU14)=3,1,"")</f>
        <v/>
      </c>
      <c r="CZ14" s="49" t="n">
        <f aca="false">IF(CR14="",CW14,0)</f>
        <v>0.1</v>
      </c>
      <c r="DA14" s="50" t="n">
        <f aca="false">IF(CZ14=0,0,CW14/SUM(CZ$12:CZ$19))</f>
        <v>0.111111111111111</v>
      </c>
      <c r="DB14" s="62"/>
      <c r="DC14" s="62"/>
      <c r="DD14" s="62"/>
      <c r="DE14" s="44"/>
      <c r="DF14" s="45" t="str">
        <f aca="false">(IF(DI14="","◄",""))</f>
        <v>◄</v>
      </c>
      <c r="DG14" s="46" t="n">
        <v>0.1</v>
      </c>
      <c r="DH14" s="47" t="n">
        <f aca="false">(IF(DD14&lt;&gt;"",1/2,0)+IF(DE14&lt;&gt;"",1,0))*DG14*DG$11*20</f>
        <v>0</v>
      </c>
      <c r="DI14" s="48" t="str">
        <f aca="false">IF(COUNTBLANK(DB14:DE14)=3,1,"")</f>
        <v/>
      </c>
      <c r="DJ14" s="49" t="n">
        <f aca="false">IF(DB14="",DG14,0)</f>
        <v>0.1</v>
      </c>
      <c r="DK14" s="50" t="n">
        <f aca="false">IF(DJ14=0,0,DG14/SUM(DJ$12:DJ$19))</f>
        <v>0.111111111111111</v>
      </c>
      <c r="DL14" s="62"/>
      <c r="DM14" s="62"/>
      <c r="DN14" s="62"/>
      <c r="DO14" s="44"/>
      <c r="DP14" s="45" t="str">
        <f aca="false">(IF(DS14="","◄",""))</f>
        <v>◄</v>
      </c>
      <c r="DQ14" s="46" t="n">
        <v>0.1</v>
      </c>
      <c r="DR14" s="47" t="n">
        <f aca="false">(IF(DN14&lt;&gt;"",1/2,0)+IF(DO14&lt;&gt;"",1,0))*DQ14*DQ$11*20</f>
        <v>0</v>
      </c>
      <c r="DS14" s="48" t="str">
        <f aca="false">IF(COUNTBLANK(DL14:DO14)=3,1,"")</f>
        <v/>
      </c>
      <c r="DT14" s="49" t="n">
        <f aca="false">IF(DL14="",DQ14,0)</f>
        <v>0.1</v>
      </c>
      <c r="DU14" s="50" t="n">
        <f aca="false">IF(DT14=0,0,DQ14/SUM(DT$12:DT$19))</f>
        <v>0.111111111111111</v>
      </c>
      <c r="DV14" s="62"/>
      <c r="DW14" s="62"/>
      <c r="DX14" s="62"/>
      <c r="DY14" s="44"/>
      <c r="DZ14" s="45" t="str">
        <f aca="false">(IF(EC14="","◄",""))</f>
        <v>◄</v>
      </c>
      <c r="EA14" s="46" t="n">
        <v>0.1</v>
      </c>
      <c r="EB14" s="47" t="n">
        <f aca="false">(IF(DX14&lt;&gt;"",1/2,0)+IF(DY14&lt;&gt;"",1,0))*EA14*EA$11*20</f>
        <v>0</v>
      </c>
      <c r="EC14" s="48" t="str">
        <f aca="false">IF(COUNTBLANK(DV14:DY14)=3,1,"")</f>
        <v/>
      </c>
      <c r="ED14" s="49" t="n">
        <f aca="false">IF(DV14="",EA14,0)</f>
        <v>0.1</v>
      </c>
      <c r="EE14" s="50" t="n">
        <f aca="false">IF(ED14=0,0,EA14/SUM(ED$12:ED$19))</f>
        <v>0.111111111111111</v>
      </c>
      <c r="EF14" s="62"/>
      <c r="EG14" s="62"/>
      <c r="EH14" s="62"/>
      <c r="EI14" s="44"/>
      <c r="EJ14" s="45" t="str">
        <f aca="false">(IF(EM14="","◄",""))</f>
        <v>◄</v>
      </c>
      <c r="EK14" s="46" t="n">
        <v>0.1</v>
      </c>
      <c r="EL14" s="47" t="n">
        <f aca="false">(IF(EH14&lt;&gt;"",1/2,0)+IF(EI14&lt;&gt;"",1,0))*EK14*EK$11*20</f>
        <v>0</v>
      </c>
      <c r="EM14" s="48" t="str">
        <f aca="false">IF(COUNTBLANK(EF14:EI14)=3,1,"")</f>
        <v/>
      </c>
      <c r="EN14" s="49" t="n">
        <f aca="false">IF(EF14="",EK14,0)</f>
        <v>0.1</v>
      </c>
      <c r="EO14" s="50" t="n">
        <f aca="false">IF(EN14=0,0,EK14/SUM(EN$12:EN$19))</f>
        <v>0.111111111111111</v>
      </c>
      <c r="EP14" s="62"/>
      <c r="EQ14" s="62"/>
      <c r="ER14" s="62"/>
      <c r="ES14" s="44"/>
      <c r="ET14" s="45" t="str">
        <f aca="false">(IF(EW14="","◄",""))</f>
        <v>◄</v>
      </c>
      <c r="EU14" s="46" t="n">
        <v>0.1</v>
      </c>
      <c r="EV14" s="47" t="n">
        <f aca="false">(IF(ER14&lt;&gt;"",1/2,0)+IF(ES14&lt;&gt;"",1,0))*EU14*EU$11*20</f>
        <v>0</v>
      </c>
      <c r="EW14" s="48" t="str">
        <f aca="false">IF(COUNTBLANK(EP14:ES14)=3,1,"")</f>
        <v/>
      </c>
      <c r="EX14" s="49" t="n">
        <f aca="false">IF(EP14="",EU14,0)</f>
        <v>0.1</v>
      </c>
      <c r="EY14" s="50" t="n">
        <f aca="false">IF(EX14=0,0,EU14/SUM(EX$12:EX$19))</f>
        <v>0.111111111111111</v>
      </c>
      <c r="EZ14" s="62"/>
      <c r="FA14" s="62"/>
      <c r="FB14" s="62"/>
      <c r="FC14" s="44"/>
      <c r="FD14" s="45" t="str">
        <f aca="false">(IF(FG14="","◄",""))</f>
        <v>◄</v>
      </c>
      <c r="FE14" s="46" t="n">
        <v>0.1</v>
      </c>
      <c r="FF14" s="47" t="n">
        <f aca="false">(IF(FB14&lt;&gt;"",1/2,0)+IF(FC14&lt;&gt;"",1,0))*FE14*FE$11*20</f>
        <v>0</v>
      </c>
      <c r="FG14" s="48" t="str">
        <f aca="false">IF(COUNTBLANK(EZ14:FC14)=3,1,"")</f>
        <v/>
      </c>
      <c r="FH14" s="49" t="n">
        <f aca="false">IF(EZ14="",FE14,0)</f>
        <v>0.1</v>
      </c>
      <c r="FI14" s="50" t="n">
        <f aca="false">IF(FH14=0,0,FE14/SUM(FH$12:FH$19))</f>
        <v>0.111111111111111</v>
      </c>
      <c r="FJ14" s="62"/>
      <c r="FK14" s="62"/>
      <c r="FL14" s="62"/>
      <c r="FM14" s="44"/>
      <c r="FN14" s="45" t="str">
        <f aca="false">(IF(FQ14="","◄",""))</f>
        <v>◄</v>
      </c>
      <c r="FO14" s="46" t="n">
        <v>0.1</v>
      </c>
      <c r="FP14" s="47" t="n">
        <f aca="false">(IF(FL14&lt;&gt;"",1/2,0)+IF(FM14&lt;&gt;"",1,0))*FO14*FO$11*20</f>
        <v>0</v>
      </c>
      <c r="FQ14" s="48" t="str">
        <f aca="false">IF(COUNTBLANK(FJ14:FM14)=3,1,"")</f>
        <v/>
      </c>
      <c r="FR14" s="49" t="n">
        <f aca="false">IF(FJ14="",FO14,0)</f>
        <v>0.1</v>
      </c>
      <c r="FS14" s="50" t="n">
        <f aca="false">IF(FR14=0,0,FO14/SUM(FR$12:FR$19))</f>
        <v>0.111111111111111</v>
      </c>
      <c r="FT14" s="62"/>
      <c r="FU14" s="62"/>
      <c r="FV14" s="62"/>
      <c r="FW14" s="44"/>
      <c r="FX14" s="45" t="str">
        <f aca="false">(IF(GA14="","◄",""))</f>
        <v>◄</v>
      </c>
      <c r="FY14" s="46" t="n">
        <v>0.1</v>
      </c>
      <c r="FZ14" s="47" t="n">
        <f aca="false">(IF(FV14&lt;&gt;"",1/2,0)+IF(FW14&lt;&gt;"",1,0))*FY14*FY$11*20</f>
        <v>0</v>
      </c>
      <c r="GA14" s="48" t="str">
        <f aca="false">IF(COUNTBLANK(FT14:FW14)=3,1,"")</f>
        <v/>
      </c>
      <c r="GB14" s="49" t="n">
        <f aca="false">IF(FT14="",FY14,0)</f>
        <v>0.1</v>
      </c>
      <c r="GC14" s="50" t="n">
        <f aca="false">IF(GB14=0,0,FY14/SUM(GB$12:GB$19))</f>
        <v>0.111111111111111</v>
      </c>
      <c r="GD14" s="62"/>
      <c r="GE14" s="62"/>
      <c r="GF14" s="62"/>
      <c r="GG14" s="44"/>
      <c r="GH14" s="45" t="str">
        <f aca="false">(IF(GK14="","◄",""))</f>
        <v>◄</v>
      </c>
      <c r="GI14" s="46" t="n">
        <v>0.1</v>
      </c>
      <c r="GJ14" s="47" t="n">
        <f aca="false">(IF(GF14&lt;&gt;"",1/2,0)+IF(GG14&lt;&gt;"",1,0))*GI14*GI$11*20</f>
        <v>0</v>
      </c>
      <c r="GK14" s="48" t="str">
        <f aca="false">IF(COUNTBLANK(GD14:GG14)=3,1,"")</f>
        <v/>
      </c>
      <c r="GL14" s="49" t="n">
        <f aca="false">IF(GD14="",GI14,0)</f>
        <v>0.1</v>
      </c>
      <c r="GM14" s="50" t="n">
        <f aca="false">IF(GL14=0,0,GI14/SUM(GL$12:GL$19))</f>
        <v>0.111111111111111</v>
      </c>
      <c r="GN14" s="62"/>
      <c r="GO14" s="62"/>
      <c r="GP14" s="62"/>
      <c r="GQ14" s="44"/>
      <c r="GR14" s="45" t="str">
        <f aca="false">(IF(GU14="","◄",""))</f>
        <v>◄</v>
      </c>
      <c r="GS14" s="46" t="n">
        <v>0.1</v>
      </c>
      <c r="GT14" s="47" t="n">
        <f aca="false">(IF(GP14&lt;&gt;"",1/2,0)+IF(GQ14&lt;&gt;"",1,0))*GS14*GS$11*20</f>
        <v>0</v>
      </c>
      <c r="GU14" s="48" t="str">
        <f aca="false">IF(COUNTBLANK(GN14:GQ14)=3,1,"")</f>
        <v/>
      </c>
      <c r="GV14" s="49" t="n">
        <f aca="false">IF(GN14="",GS14,0)</f>
        <v>0.1</v>
      </c>
      <c r="GW14" s="50" t="n">
        <f aca="false">IF(GV14=0,0,GS14/SUM(GV$12:GV$19))</f>
        <v>0.111111111111111</v>
      </c>
      <c r="GX14" s="62"/>
      <c r="GY14" s="62"/>
      <c r="GZ14" s="62"/>
      <c r="HA14" s="44"/>
      <c r="HB14" s="45" t="str">
        <f aca="false">(IF(HE14="","◄",""))</f>
        <v>◄</v>
      </c>
      <c r="HC14" s="46" t="n">
        <v>0.1</v>
      </c>
      <c r="HD14" s="47" t="n">
        <f aca="false">(IF(GZ14&lt;&gt;"",1/2,0)+IF(HA14&lt;&gt;"",1,0))*HC14*HC$11*20</f>
        <v>0</v>
      </c>
      <c r="HE14" s="48" t="str">
        <f aca="false">IF(COUNTBLANK(GX14:HA14)=3,1,"")</f>
        <v/>
      </c>
      <c r="HF14" s="49" t="n">
        <f aca="false">IF(GX14="",HC14,0)</f>
        <v>0.1</v>
      </c>
      <c r="HG14" s="50" t="n">
        <f aca="false">IF(HF14=0,0,HC14/SUM(HF$12:HF$19))</f>
        <v>0.111111111111111</v>
      </c>
      <c r="HH14" s="62"/>
      <c r="HI14" s="62"/>
      <c r="HJ14" s="62"/>
      <c r="HK14" s="44"/>
      <c r="HL14" s="45" t="str">
        <f aca="false">(IF(HO14="","◄",""))</f>
        <v>◄</v>
      </c>
      <c r="HM14" s="46" t="n">
        <v>0.1</v>
      </c>
      <c r="HN14" s="47" t="n">
        <f aca="false">(IF(HJ14&lt;&gt;"",1/2,0)+IF(HK14&lt;&gt;"",1,0))*HM14*HM$11*20</f>
        <v>0</v>
      </c>
      <c r="HO14" s="48" t="str">
        <f aca="false">IF(COUNTBLANK(HH14:HK14)=3,1,"")</f>
        <v/>
      </c>
      <c r="HP14" s="49" t="n">
        <f aca="false">IF(HH14="",HM14,0)</f>
        <v>0.1</v>
      </c>
      <c r="HQ14" s="50" t="n">
        <f aca="false">IF(HP14=0,0,HM14/SUM(HP$12:HP$19))</f>
        <v>0.111111111111111</v>
      </c>
      <c r="HR14" s="62"/>
      <c r="HS14" s="62"/>
      <c r="HT14" s="62"/>
      <c r="HU14" s="44"/>
      <c r="HV14" s="45" t="str">
        <f aca="false">(IF(HY14="","◄",""))</f>
        <v>◄</v>
      </c>
      <c r="HW14" s="46" t="n">
        <v>0.1</v>
      </c>
      <c r="HX14" s="47" t="n">
        <f aca="false">(IF(HT14&lt;&gt;"",1/2,0)+IF(HU14&lt;&gt;"",1,0))*HW14*HW$11*20</f>
        <v>0</v>
      </c>
      <c r="HY14" s="48" t="str">
        <f aca="false">IF(COUNTBLANK(HR14:HU14)=3,1,"")</f>
        <v/>
      </c>
      <c r="HZ14" s="49" t="n">
        <f aca="false">IF(HR14="",HW14,0)</f>
        <v>0.1</v>
      </c>
      <c r="IA14" s="50" t="n">
        <f aca="false">IF(HZ14=0,0,HW14/SUM(HZ$12:HZ$19))</f>
        <v>0.111111111111111</v>
      </c>
      <c r="IB14" s="62"/>
      <c r="IC14" s="62"/>
      <c r="ID14" s="62"/>
      <c r="IE14" s="44"/>
      <c r="IF14" s="45" t="str">
        <f aca="false">(IF(II14="","◄",""))</f>
        <v>◄</v>
      </c>
      <c r="IG14" s="46" t="n">
        <v>0.1</v>
      </c>
      <c r="IH14" s="47" t="n">
        <f aca="false">(IF(ID14&lt;&gt;"",1/2,0)+IF(IE14&lt;&gt;"",1,0))*IG14*IG$11*20</f>
        <v>0</v>
      </c>
      <c r="II14" s="48" t="str">
        <f aca="false">IF(COUNTBLANK(IB14:IE14)=3,1,"")</f>
        <v/>
      </c>
      <c r="IJ14" s="49" t="n">
        <f aca="false">IF(IB14="",IG14,0)</f>
        <v>0.1</v>
      </c>
      <c r="IK14" s="50" t="n">
        <f aca="false">IF(IJ14=0,0,IG14/SUM(IJ$12:IJ$19))</f>
        <v>0.111111111111111</v>
      </c>
    </row>
    <row r="15" customFormat="false" ht="49.5" hidden="false" customHeight="true" outlineLevel="0" collapsed="false">
      <c r="A15" s="39" t="n">
        <v>12</v>
      </c>
      <c r="B15" s="40" t="s">
        <v>41</v>
      </c>
      <c r="C15" s="55" t="n">
        <f aca="false">$DN$43</f>
        <v>0</v>
      </c>
      <c r="D15" s="52"/>
      <c r="E15" s="53" t="s">
        <v>42</v>
      </c>
      <c r="F15" s="62"/>
      <c r="G15" s="62"/>
      <c r="H15" s="62"/>
      <c r="I15" s="44"/>
      <c r="J15" s="45" t="str">
        <f aca="false">(IF(M15="","◄",""))</f>
        <v>◄</v>
      </c>
      <c r="K15" s="46" t="n">
        <v>0.1</v>
      </c>
      <c r="L15" s="47" t="n">
        <f aca="false">(IF(H15&lt;&gt;"",1/2,0)+IF(I15&lt;&gt;"",1,0))*K15*K$11*20</f>
        <v>0</v>
      </c>
      <c r="M15" s="48" t="str">
        <f aca="false">IF(COUNTBLANK(F15:I15)=3,1,"")</f>
        <v/>
      </c>
      <c r="N15" s="49" t="n">
        <f aca="false">IF(F15="",K15,0)</f>
        <v>0.1</v>
      </c>
      <c r="O15" s="50" t="n">
        <f aca="false">IF(N15=0,0,K15/SUM(N$12:N$19))</f>
        <v>0.111111111111111</v>
      </c>
      <c r="P15" s="62"/>
      <c r="Q15" s="62"/>
      <c r="R15" s="62"/>
      <c r="S15" s="44"/>
      <c r="T15" s="45" t="str">
        <f aca="false">(IF(W15="","◄",""))</f>
        <v>◄</v>
      </c>
      <c r="U15" s="46" t="n">
        <v>0.1</v>
      </c>
      <c r="V15" s="47" t="n">
        <f aca="false">(IF(R15&lt;&gt;"",1/2,0)+IF(S15&lt;&gt;"",1,0))*U15*U$11*20</f>
        <v>0</v>
      </c>
      <c r="W15" s="48" t="str">
        <f aca="false">IF(COUNTBLANK(P15:S15)=3,1,"")</f>
        <v/>
      </c>
      <c r="X15" s="49" t="n">
        <f aca="false">IF(P15="",U15,0)</f>
        <v>0.1</v>
      </c>
      <c r="Y15" s="50" t="n">
        <f aca="false">IF(X15=0,0,U15/SUM(X$12:X$19))</f>
        <v>0.111111111111111</v>
      </c>
      <c r="Z15" s="62"/>
      <c r="AA15" s="62"/>
      <c r="AB15" s="62"/>
      <c r="AC15" s="44"/>
      <c r="AD15" s="45" t="str">
        <f aca="false">(IF(AG15="","◄",""))</f>
        <v>◄</v>
      </c>
      <c r="AE15" s="46" t="n">
        <v>0.1</v>
      </c>
      <c r="AF15" s="47" t="n">
        <f aca="false">(IF(AB15&lt;&gt;"",1/2,0)+IF(AC15&lt;&gt;"",1,0))*AE15*AE$11*20</f>
        <v>0</v>
      </c>
      <c r="AG15" s="48" t="str">
        <f aca="false">IF(COUNTBLANK(Z15:AC15)=3,1,"")</f>
        <v/>
      </c>
      <c r="AH15" s="49" t="n">
        <f aca="false">IF(Z15="",AE15,0)</f>
        <v>0.1</v>
      </c>
      <c r="AI15" s="50" t="n">
        <f aca="false">IF(AH15=0,0,AE15/SUM(AH$12:AH$19))</f>
        <v>0.111111111111111</v>
      </c>
      <c r="AJ15" s="62"/>
      <c r="AK15" s="62"/>
      <c r="AL15" s="62"/>
      <c r="AM15" s="44"/>
      <c r="AN15" s="45" t="str">
        <f aca="false">(IF(AQ15="","◄",""))</f>
        <v>◄</v>
      </c>
      <c r="AO15" s="46" t="n">
        <v>0.1</v>
      </c>
      <c r="AP15" s="47" t="n">
        <f aca="false">(IF(AL15&lt;&gt;"",1/2,0)+IF(AM15&lt;&gt;"",1,0))*AO15*AO$11*20</f>
        <v>0</v>
      </c>
      <c r="AQ15" s="48" t="str">
        <f aca="false">IF(COUNTBLANK(AJ15:AM15)=3,1,"")</f>
        <v/>
      </c>
      <c r="AR15" s="49" t="n">
        <f aca="false">IF(AJ15="",AO15,0)</f>
        <v>0.1</v>
      </c>
      <c r="AS15" s="50" t="n">
        <f aca="false">IF(AR15=0,0,AO15/SUM(AR$12:AR$19))</f>
        <v>0.111111111111111</v>
      </c>
      <c r="AT15" s="62"/>
      <c r="AU15" s="62"/>
      <c r="AV15" s="62"/>
      <c r="AW15" s="44"/>
      <c r="AX15" s="45" t="str">
        <f aca="false">(IF(BA15="","◄",""))</f>
        <v>◄</v>
      </c>
      <c r="AY15" s="46" t="n">
        <v>0.1</v>
      </c>
      <c r="AZ15" s="47" t="n">
        <f aca="false">(IF(AV15&lt;&gt;"",1/2,0)+IF(AW15&lt;&gt;"",1,0))*AY15*AY$11*20</f>
        <v>0</v>
      </c>
      <c r="BA15" s="48" t="str">
        <f aca="false">IF(COUNTBLANK(AT15:AW15)=3,1,"")</f>
        <v/>
      </c>
      <c r="BB15" s="49" t="n">
        <f aca="false">IF(AT15="",AY15,0)</f>
        <v>0.1</v>
      </c>
      <c r="BC15" s="50" t="n">
        <f aca="false">IF(BB15=0,0,AY15/SUM(BB$12:BB$19))</f>
        <v>0.111111111111111</v>
      </c>
      <c r="BD15" s="62"/>
      <c r="BE15" s="62"/>
      <c r="BF15" s="62"/>
      <c r="BG15" s="44"/>
      <c r="BH15" s="45" t="str">
        <f aca="false">(IF(BK15="","◄",""))</f>
        <v>◄</v>
      </c>
      <c r="BI15" s="46" t="n">
        <v>0.1</v>
      </c>
      <c r="BJ15" s="47" t="n">
        <f aca="false">(IF(BF15&lt;&gt;"",1/2,0)+IF(BG15&lt;&gt;"",1,0))*BI15*BI$11*20</f>
        <v>0</v>
      </c>
      <c r="BK15" s="48" t="str">
        <f aca="false">IF(COUNTBLANK(BD15:BG15)=3,1,"")</f>
        <v/>
      </c>
      <c r="BL15" s="49" t="n">
        <f aca="false">IF(BD15="",BI15,0)</f>
        <v>0.1</v>
      </c>
      <c r="BM15" s="50" t="n">
        <f aca="false">IF(BL15=0,0,BI15/SUM(BL$12:BL$19))</f>
        <v>0.111111111111111</v>
      </c>
      <c r="BN15" s="62"/>
      <c r="BO15" s="62"/>
      <c r="BP15" s="62"/>
      <c r="BQ15" s="44"/>
      <c r="BR15" s="45" t="str">
        <f aca="false">(IF(BU15="","◄",""))</f>
        <v>◄</v>
      </c>
      <c r="BS15" s="46" t="n">
        <v>0.1</v>
      </c>
      <c r="BT15" s="47" t="n">
        <f aca="false">(IF(BP15&lt;&gt;"",1/2,0)+IF(BQ15&lt;&gt;"",1,0))*BS15*BS$11*20</f>
        <v>0</v>
      </c>
      <c r="BU15" s="48" t="str">
        <f aca="false">IF(COUNTBLANK(BN15:BQ15)=3,1,"")</f>
        <v/>
      </c>
      <c r="BV15" s="49" t="n">
        <f aca="false">IF(BN15="",BS15,0)</f>
        <v>0.1</v>
      </c>
      <c r="BW15" s="50" t="n">
        <f aca="false">IF(BV15=0,0,BS15/SUM(BV$12:BV$19))</f>
        <v>0.111111111111111</v>
      </c>
      <c r="BX15" s="62"/>
      <c r="BY15" s="62"/>
      <c r="BZ15" s="62"/>
      <c r="CA15" s="44"/>
      <c r="CB15" s="45" t="str">
        <f aca="false">(IF(CE15="","◄",""))</f>
        <v>◄</v>
      </c>
      <c r="CC15" s="46" t="n">
        <v>0.1</v>
      </c>
      <c r="CD15" s="47" t="n">
        <f aca="false">(IF(BZ15&lt;&gt;"",1/2,0)+IF(CA15&lt;&gt;"",1,0))*CC15*CC$11*20</f>
        <v>0</v>
      </c>
      <c r="CE15" s="48" t="str">
        <f aca="false">IF(COUNTBLANK(BX15:CA15)=3,1,"")</f>
        <v/>
      </c>
      <c r="CF15" s="49" t="n">
        <f aca="false">IF(BX15="",CC15,0)</f>
        <v>0.1</v>
      </c>
      <c r="CG15" s="50" t="n">
        <f aca="false">IF(CF15=0,0,CC15/SUM(CF$12:CF$19))</f>
        <v>0.111111111111111</v>
      </c>
      <c r="CH15" s="62"/>
      <c r="CI15" s="62"/>
      <c r="CJ15" s="62"/>
      <c r="CK15" s="44"/>
      <c r="CL15" s="45" t="str">
        <f aca="false">(IF(CO15="","◄",""))</f>
        <v>◄</v>
      </c>
      <c r="CM15" s="46" t="n">
        <v>0.1</v>
      </c>
      <c r="CN15" s="47" t="n">
        <f aca="false">(IF(CJ15&lt;&gt;"",1/2,0)+IF(CK15&lt;&gt;"",1,0))*CM15*CM$11*20</f>
        <v>0</v>
      </c>
      <c r="CO15" s="48" t="str">
        <f aca="false">IF(COUNTBLANK(CH15:CK15)=3,1,"")</f>
        <v/>
      </c>
      <c r="CP15" s="49" t="n">
        <f aca="false">IF(CH15="",CM15,0)</f>
        <v>0.1</v>
      </c>
      <c r="CQ15" s="50" t="n">
        <f aca="false">IF(CP15=0,0,CM15/SUM(CP$12:CP$19))</f>
        <v>0.111111111111111</v>
      </c>
      <c r="CR15" s="62"/>
      <c r="CS15" s="62"/>
      <c r="CT15" s="62"/>
      <c r="CU15" s="44"/>
      <c r="CV15" s="45" t="str">
        <f aca="false">(IF(CY15="","◄",""))</f>
        <v>◄</v>
      </c>
      <c r="CW15" s="46" t="n">
        <v>0.1</v>
      </c>
      <c r="CX15" s="47" t="n">
        <f aca="false">(IF(CT15&lt;&gt;"",1/2,0)+IF(CU15&lt;&gt;"",1,0))*CW15*CW$11*20</f>
        <v>0</v>
      </c>
      <c r="CY15" s="48" t="str">
        <f aca="false">IF(COUNTBLANK(CR15:CU15)=3,1,"")</f>
        <v/>
      </c>
      <c r="CZ15" s="49" t="n">
        <f aca="false">IF(CR15="",CW15,0)</f>
        <v>0.1</v>
      </c>
      <c r="DA15" s="50" t="n">
        <f aca="false">IF(CZ15=0,0,CW15/SUM(CZ$12:CZ$19))</f>
        <v>0.111111111111111</v>
      </c>
      <c r="DB15" s="62"/>
      <c r="DC15" s="62"/>
      <c r="DD15" s="62"/>
      <c r="DE15" s="44"/>
      <c r="DF15" s="45" t="str">
        <f aca="false">(IF(DI15="","◄",""))</f>
        <v>◄</v>
      </c>
      <c r="DG15" s="46" t="n">
        <v>0.1</v>
      </c>
      <c r="DH15" s="47" t="n">
        <f aca="false">(IF(DD15&lt;&gt;"",1/2,0)+IF(DE15&lt;&gt;"",1,0))*DG15*DG$11*20</f>
        <v>0</v>
      </c>
      <c r="DI15" s="48" t="str">
        <f aca="false">IF(COUNTBLANK(DB15:DE15)=3,1,"")</f>
        <v/>
      </c>
      <c r="DJ15" s="49" t="n">
        <f aca="false">IF(DB15="",DG15,0)</f>
        <v>0.1</v>
      </c>
      <c r="DK15" s="50" t="n">
        <f aca="false">IF(DJ15=0,0,DG15/SUM(DJ$12:DJ$19))</f>
        <v>0.111111111111111</v>
      </c>
      <c r="DL15" s="62"/>
      <c r="DM15" s="62"/>
      <c r="DN15" s="62"/>
      <c r="DO15" s="44"/>
      <c r="DP15" s="45" t="str">
        <f aca="false">(IF(DS15="","◄",""))</f>
        <v>◄</v>
      </c>
      <c r="DQ15" s="46" t="n">
        <v>0.1</v>
      </c>
      <c r="DR15" s="47" t="n">
        <f aca="false">(IF(DN15&lt;&gt;"",1/2,0)+IF(DO15&lt;&gt;"",1,0))*DQ15*DQ$11*20</f>
        <v>0</v>
      </c>
      <c r="DS15" s="48" t="str">
        <f aca="false">IF(COUNTBLANK(DL15:DO15)=3,1,"")</f>
        <v/>
      </c>
      <c r="DT15" s="49" t="n">
        <f aca="false">IF(DL15="",DQ15,0)</f>
        <v>0.1</v>
      </c>
      <c r="DU15" s="50" t="n">
        <f aca="false">IF(DT15=0,0,DQ15/SUM(DT$12:DT$19))</f>
        <v>0.111111111111111</v>
      </c>
      <c r="DV15" s="62"/>
      <c r="DW15" s="62"/>
      <c r="DX15" s="62"/>
      <c r="DY15" s="44"/>
      <c r="DZ15" s="45" t="str">
        <f aca="false">(IF(EC15="","◄",""))</f>
        <v>◄</v>
      </c>
      <c r="EA15" s="46" t="n">
        <v>0.1</v>
      </c>
      <c r="EB15" s="47" t="n">
        <f aca="false">(IF(DX15&lt;&gt;"",1/2,0)+IF(DY15&lt;&gt;"",1,0))*EA15*EA$11*20</f>
        <v>0</v>
      </c>
      <c r="EC15" s="48" t="str">
        <f aca="false">IF(COUNTBLANK(DV15:DY15)=3,1,"")</f>
        <v/>
      </c>
      <c r="ED15" s="49" t="n">
        <f aca="false">IF(DV15="",EA15,0)</f>
        <v>0.1</v>
      </c>
      <c r="EE15" s="50" t="n">
        <f aca="false">IF(ED15=0,0,EA15/SUM(ED$12:ED$19))</f>
        <v>0.111111111111111</v>
      </c>
      <c r="EF15" s="62"/>
      <c r="EG15" s="62"/>
      <c r="EH15" s="62"/>
      <c r="EI15" s="44"/>
      <c r="EJ15" s="45" t="str">
        <f aca="false">(IF(EM15="","◄",""))</f>
        <v>◄</v>
      </c>
      <c r="EK15" s="46" t="n">
        <v>0.1</v>
      </c>
      <c r="EL15" s="47" t="n">
        <f aca="false">(IF(EH15&lt;&gt;"",1/2,0)+IF(EI15&lt;&gt;"",1,0))*EK15*EK$11*20</f>
        <v>0</v>
      </c>
      <c r="EM15" s="48" t="str">
        <f aca="false">IF(COUNTBLANK(EF15:EI15)=3,1,"")</f>
        <v/>
      </c>
      <c r="EN15" s="49" t="n">
        <f aca="false">IF(EF15="",EK15,0)</f>
        <v>0.1</v>
      </c>
      <c r="EO15" s="50" t="n">
        <f aca="false">IF(EN15=0,0,EK15/SUM(EN$12:EN$19))</f>
        <v>0.111111111111111</v>
      </c>
      <c r="EP15" s="62"/>
      <c r="EQ15" s="62"/>
      <c r="ER15" s="62"/>
      <c r="ES15" s="44"/>
      <c r="ET15" s="45" t="str">
        <f aca="false">(IF(EW15="","◄",""))</f>
        <v>◄</v>
      </c>
      <c r="EU15" s="46" t="n">
        <v>0.1</v>
      </c>
      <c r="EV15" s="47" t="n">
        <f aca="false">(IF(ER15&lt;&gt;"",1/2,0)+IF(ES15&lt;&gt;"",1,0))*EU15*EU$11*20</f>
        <v>0</v>
      </c>
      <c r="EW15" s="48" t="str">
        <f aca="false">IF(COUNTBLANK(EP15:ES15)=3,1,"")</f>
        <v/>
      </c>
      <c r="EX15" s="49" t="n">
        <f aca="false">IF(EP15="",EU15,0)</f>
        <v>0.1</v>
      </c>
      <c r="EY15" s="50" t="n">
        <f aca="false">IF(EX15=0,0,EU15/SUM(EX$12:EX$19))</f>
        <v>0.111111111111111</v>
      </c>
      <c r="EZ15" s="62"/>
      <c r="FA15" s="62"/>
      <c r="FB15" s="62"/>
      <c r="FC15" s="44"/>
      <c r="FD15" s="45" t="str">
        <f aca="false">(IF(FG15="","◄",""))</f>
        <v>◄</v>
      </c>
      <c r="FE15" s="46" t="n">
        <v>0.1</v>
      </c>
      <c r="FF15" s="47" t="n">
        <f aca="false">(IF(FB15&lt;&gt;"",1/2,0)+IF(FC15&lt;&gt;"",1,0))*FE15*FE$11*20</f>
        <v>0</v>
      </c>
      <c r="FG15" s="48" t="str">
        <f aca="false">IF(COUNTBLANK(EZ15:FC15)=3,1,"")</f>
        <v/>
      </c>
      <c r="FH15" s="49" t="n">
        <f aca="false">IF(EZ15="",FE15,0)</f>
        <v>0.1</v>
      </c>
      <c r="FI15" s="50" t="n">
        <f aca="false">IF(FH15=0,0,FE15/SUM(FH$12:FH$19))</f>
        <v>0.111111111111111</v>
      </c>
      <c r="FJ15" s="62"/>
      <c r="FK15" s="62"/>
      <c r="FL15" s="62"/>
      <c r="FM15" s="44"/>
      <c r="FN15" s="45" t="str">
        <f aca="false">(IF(FQ15="","◄",""))</f>
        <v>◄</v>
      </c>
      <c r="FO15" s="46" t="n">
        <v>0.1</v>
      </c>
      <c r="FP15" s="47" t="n">
        <f aca="false">(IF(FL15&lt;&gt;"",1/2,0)+IF(FM15&lt;&gt;"",1,0))*FO15*FO$11*20</f>
        <v>0</v>
      </c>
      <c r="FQ15" s="48" t="str">
        <f aca="false">IF(COUNTBLANK(FJ15:FM15)=3,1,"")</f>
        <v/>
      </c>
      <c r="FR15" s="49" t="n">
        <f aca="false">IF(FJ15="",FO15,0)</f>
        <v>0.1</v>
      </c>
      <c r="FS15" s="50" t="n">
        <f aca="false">IF(FR15=0,0,FO15/SUM(FR$12:FR$19))</f>
        <v>0.111111111111111</v>
      </c>
      <c r="FT15" s="62"/>
      <c r="FU15" s="62"/>
      <c r="FV15" s="62"/>
      <c r="FW15" s="44"/>
      <c r="FX15" s="45" t="str">
        <f aca="false">(IF(GA15="","◄",""))</f>
        <v>◄</v>
      </c>
      <c r="FY15" s="46" t="n">
        <v>0.1</v>
      </c>
      <c r="FZ15" s="47" t="n">
        <f aca="false">(IF(FV15&lt;&gt;"",1/2,0)+IF(FW15&lt;&gt;"",1,0))*FY15*FY$11*20</f>
        <v>0</v>
      </c>
      <c r="GA15" s="48" t="str">
        <f aca="false">IF(COUNTBLANK(FT15:FW15)=3,1,"")</f>
        <v/>
      </c>
      <c r="GB15" s="49" t="n">
        <f aca="false">IF(FT15="",FY15,0)</f>
        <v>0.1</v>
      </c>
      <c r="GC15" s="50" t="n">
        <f aca="false">IF(GB15=0,0,FY15/SUM(GB$12:GB$19))</f>
        <v>0.111111111111111</v>
      </c>
      <c r="GD15" s="62"/>
      <c r="GE15" s="62"/>
      <c r="GF15" s="62"/>
      <c r="GG15" s="44"/>
      <c r="GH15" s="45" t="str">
        <f aca="false">(IF(GK15="","◄",""))</f>
        <v>◄</v>
      </c>
      <c r="GI15" s="46" t="n">
        <v>0.1</v>
      </c>
      <c r="GJ15" s="47" t="n">
        <f aca="false">(IF(GF15&lt;&gt;"",1/2,0)+IF(GG15&lt;&gt;"",1,0))*GI15*GI$11*20</f>
        <v>0</v>
      </c>
      <c r="GK15" s="48" t="str">
        <f aca="false">IF(COUNTBLANK(GD15:GG15)=3,1,"")</f>
        <v/>
      </c>
      <c r="GL15" s="49" t="n">
        <f aca="false">IF(GD15="",GI15,0)</f>
        <v>0.1</v>
      </c>
      <c r="GM15" s="50" t="n">
        <f aca="false">IF(GL15=0,0,GI15/SUM(GL$12:GL$19))</f>
        <v>0.111111111111111</v>
      </c>
      <c r="GN15" s="62"/>
      <c r="GO15" s="62"/>
      <c r="GP15" s="62"/>
      <c r="GQ15" s="44"/>
      <c r="GR15" s="45" t="str">
        <f aca="false">(IF(GU15="","◄",""))</f>
        <v>◄</v>
      </c>
      <c r="GS15" s="46" t="n">
        <v>0.1</v>
      </c>
      <c r="GT15" s="47" t="n">
        <f aca="false">(IF(GP15&lt;&gt;"",1/2,0)+IF(GQ15&lt;&gt;"",1,0))*GS15*GS$11*20</f>
        <v>0</v>
      </c>
      <c r="GU15" s="48" t="str">
        <f aca="false">IF(COUNTBLANK(GN15:GQ15)=3,1,"")</f>
        <v/>
      </c>
      <c r="GV15" s="49" t="n">
        <f aca="false">IF(GN15="",GS15,0)</f>
        <v>0.1</v>
      </c>
      <c r="GW15" s="50" t="n">
        <f aca="false">IF(GV15=0,0,GS15/SUM(GV$12:GV$19))</f>
        <v>0.111111111111111</v>
      </c>
      <c r="GX15" s="62"/>
      <c r="GY15" s="62"/>
      <c r="GZ15" s="62"/>
      <c r="HA15" s="44"/>
      <c r="HB15" s="45" t="str">
        <f aca="false">(IF(HE15="","◄",""))</f>
        <v>◄</v>
      </c>
      <c r="HC15" s="46" t="n">
        <v>0.1</v>
      </c>
      <c r="HD15" s="47" t="n">
        <f aca="false">(IF(GZ15&lt;&gt;"",1/2,0)+IF(HA15&lt;&gt;"",1,0))*HC15*HC$11*20</f>
        <v>0</v>
      </c>
      <c r="HE15" s="48" t="str">
        <f aca="false">IF(COUNTBLANK(GX15:HA15)=3,1,"")</f>
        <v/>
      </c>
      <c r="HF15" s="49" t="n">
        <f aca="false">IF(GX15="",HC15,0)</f>
        <v>0.1</v>
      </c>
      <c r="HG15" s="50" t="n">
        <f aca="false">IF(HF15=0,0,HC15/SUM(HF$12:HF$19))</f>
        <v>0.111111111111111</v>
      </c>
      <c r="HH15" s="62"/>
      <c r="HI15" s="62"/>
      <c r="HJ15" s="62"/>
      <c r="HK15" s="44"/>
      <c r="HL15" s="45" t="str">
        <f aca="false">(IF(HO15="","◄",""))</f>
        <v>◄</v>
      </c>
      <c r="HM15" s="46" t="n">
        <v>0.1</v>
      </c>
      <c r="HN15" s="47" t="n">
        <f aca="false">(IF(HJ15&lt;&gt;"",1/2,0)+IF(HK15&lt;&gt;"",1,0))*HM15*HM$11*20</f>
        <v>0</v>
      </c>
      <c r="HO15" s="48" t="str">
        <f aca="false">IF(COUNTBLANK(HH15:HK15)=3,1,"")</f>
        <v/>
      </c>
      <c r="HP15" s="49" t="n">
        <f aca="false">IF(HH15="",HM15,0)</f>
        <v>0.1</v>
      </c>
      <c r="HQ15" s="50" t="n">
        <f aca="false">IF(HP15=0,0,HM15/SUM(HP$12:HP$19))</f>
        <v>0.111111111111111</v>
      </c>
      <c r="HR15" s="62"/>
      <c r="HS15" s="62"/>
      <c r="HT15" s="62"/>
      <c r="HU15" s="44"/>
      <c r="HV15" s="45" t="str">
        <f aca="false">(IF(HY15="","◄",""))</f>
        <v>◄</v>
      </c>
      <c r="HW15" s="46" t="n">
        <v>0.1</v>
      </c>
      <c r="HX15" s="47" t="n">
        <f aca="false">(IF(HT15&lt;&gt;"",1/2,0)+IF(HU15&lt;&gt;"",1,0))*HW15*HW$11*20</f>
        <v>0</v>
      </c>
      <c r="HY15" s="48" t="str">
        <f aca="false">IF(COUNTBLANK(HR15:HU15)=3,1,"")</f>
        <v/>
      </c>
      <c r="HZ15" s="49" t="n">
        <f aca="false">IF(HR15="",HW15,0)</f>
        <v>0.1</v>
      </c>
      <c r="IA15" s="50" t="n">
        <f aca="false">IF(HZ15=0,0,HW15/SUM(HZ$12:HZ$19))</f>
        <v>0.111111111111111</v>
      </c>
      <c r="IB15" s="62"/>
      <c r="IC15" s="62"/>
      <c r="ID15" s="62"/>
      <c r="IE15" s="44"/>
      <c r="IF15" s="45" t="str">
        <f aca="false">(IF(II15="","◄",""))</f>
        <v>◄</v>
      </c>
      <c r="IG15" s="46" t="n">
        <v>0.1</v>
      </c>
      <c r="IH15" s="47" t="n">
        <f aca="false">(IF(ID15&lt;&gt;"",1/2,0)+IF(IE15&lt;&gt;"",1,0))*IG15*IG$11*20</f>
        <v>0</v>
      </c>
      <c r="II15" s="48" t="str">
        <f aca="false">IF(COUNTBLANK(IB15:IE15)=3,1,"")</f>
        <v/>
      </c>
      <c r="IJ15" s="49" t="n">
        <f aca="false">IF(IB15="",IG15,0)</f>
        <v>0.1</v>
      </c>
      <c r="IK15" s="50" t="n">
        <f aca="false">IF(IJ15=0,0,IG15/SUM(IJ$12:IJ$19))</f>
        <v>0.111111111111111</v>
      </c>
    </row>
    <row r="16" customFormat="false" ht="49.5" hidden="false" customHeight="true" outlineLevel="0" collapsed="false">
      <c r="A16" s="39" t="n">
        <v>13</v>
      </c>
      <c r="B16" s="40" t="s">
        <v>43</v>
      </c>
      <c r="C16" s="63" t="n">
        <f aca="false">$DX$43</f>
        <v>0</v>
      </c>
      <c r="D16" s="52" t="s">
        <v>44</v>
      </c>
      <c r="E16" s="53" t="s">
        <v>45</v>
      </c>
      <c r="F16" s="62"/>
      <c r="G16" s="62"/>
      <c r="H16" s="62"/>
      <c r="I16" s="44"/>
      <c r="J16" s="45" t="str">
        <f aca="false">(IF(M16="","◄",""))</f>
        <v>◄</v>
      </c>
      <c r="K16" s="46" t="n">
        <v>0.1</v>
      </c>
      <c r="L16" s="47" t="n">
        <f aca="false">(IF(H16&lt;&gt;"",1/2,0)+IF(I16&lt;&gt;"",1,0))*K16*K$11*20</f>
        <v>0</v>
      </c>
      <c r="M16" s="48" t="str">
        <f aca="false">IF(COUNTBLANK(F16:I16)=3,1,"")</f>
        <v/>
      </c>
      <c r="N16" s="49" t="n">
        <f aca="false">IF(F16="",K16,0)</f>
        <v>0.1</v>
      </c>
      <c r="O16" s="50" t="n">
        <f aca="false">IF(N16=0,0,K16/SUM(N$12:N$19))</f>
        <v>0.111111111111111</v>
      </c>
      <c r="P16" s="62"/>
      <c r="Q16" s="62"/>
      <c r="R16" s="62"/>
      <c r="S16" s="44"/>
      <c r="T16" s="45" t="str">
        <f aca="false">(IF(W16="","◄",""))</f>
        <v>◄</v>
      </c>
      <c r="U16" s="46" t="n">
        <v>0.1</v>
      </c>
      <c r="V16" s="47" t="n">
        <f aca="false">(IF(R16&lt;&gt;"",1/2,0)+IF(S16&lt;&gt;"",1,0))*U16*U$11*20</f>
        <v>0</v>
      </c>
      <c r="W16" s="48" t="str">
        <f aca="false">IF(COUNTBLANK(P16:S16)=3,1,"")</f>
        <v/>
      </c>
      <c r="X16" s="49" t="n">
        <f aca="false">IF(P16="",U16,0)</f>
        <v>0.1</v>
      </c>
      <c r="Y16" s="50" t="n">
        <f aca="false">IF(X16=0,0,U16/SUM(X$12:X$19))</f>
        <v>0.111111111111111</v>
      </c>
      <c r="Z16" s="62"/>
      <c r="AA16" s="62"/>
      <c r="AB16" s="62"/>
      <c r="AC16" s="44"/>
      <c r="AD16" s="45" t="str">
        <f aca="false">(IF(AG16="","◄",""))</f>
        <v>◄</v>
      </c>
      <c r="AE16" s="46" t="n">
        <v>0.1</v>
      </c>
      <c r="AF16" s="47" t="n">
        <f aca="false">(IF(AB16&lt;&gt;"",1/2,0)+IF(AC16&lt;&gt;"",1,0))*AE16*AE$11*20</f>
        <v>0</v>
      </c>
      <c r="AG16" s="48" t="str">
        <f aca="false">IF(COUNTBLANK(Z16:AC16)=3,1,"")</f>
        <v/>
      </c>
      <c r="AH16" s="49" t="n">
        <f aca="false">IF(Z16="",AE16,0)</f>
        <v>0.1</v>
      </c>
      <c r="AI16" s="50" t="n">
        <f aca="false">IF(AH16=0,0,AE16/SUM(AH$12:AH$19))</f>
        <v>0.111111111111111</v>
      </c>
      <c r="AJ16" s="62"/>
      <c r="AK16" s="62"/>
      <c r="AL16" s="62"/>
      <c r="AM16" s="44"/>
      <c r="AN16" s="45" t="str">
        <f aca="false">(IF(AQ16="","◄",""))</f>
        <v>◄</v>
      </c>
      <c r="AO16" s="46" t="n">
        <v>0.1</v>
      </c>
      <c r="AP16" s="47" t="n">
        <f aca="false">(IF(AL16&lt;&gt;"",1/2,0)+IF(AM16&lt;&gt;"",1,0))*AO16*AO$11*20</f>
        <v>0</v>
      </c>
      <c r="AQ16" s="48" t="str">
        <f aca="false">IF(COUNTBLANK(AJ16:AM16)=3,1,"")</f>
        <v/>
      </c>
      <c r="AR16" s="49" t="n">
        <f aca="false">IF(AJ16="",AO16,0)</f>
        <v>0.1</v>
      </c>
      <c r="AS16" s="50" t="n">
        <f aca="false">IF(AR16=0,0,AO16/SUM(AR$12:AR$19))</f>
        <v>0.111111111111111</v>
      </c>
      <c r="AT16" s="62"/>
      <c r="AU16" s="62"/>
      <c r="AV16" s="62"/>
      <c r="AW16" s="44"/>
      <c r="AX16" s="45" t="str">
        <f aca="false">(IF(BA16="","◄",""))</f>
        <v>◄</v>
      </c>
      <c r="AY16" s="46" t="n">
        <v>0.1</v>
      </c>
      <c r="AZ16" s="47" t="n">
        <f aca="false">(IF(AV16&lt;&gt;"",1/2,0)+IF(AW16&lt;&gt;"",1,0))*AY16*AY$11*20</f>
        <v>0</v>
      </c>
      <c r="BA16" s="48" t="str">
        <f aca="false">IF(COUNTBLANK(AT16:AW16)=3,1,"")</f>
        <v/>
      </c>
      <c r="BB16" s="49" t="n">
        <f aca="false">IF(AT16="",AY16,0)</f>
        <v>0.1</v>
      </c>
      <c r="BC16" s="50" t="n">
        <f aca="false">IF(BB16=0,0,AY16/SUM(BB$12:BB$19))</f>
        <v>0.111111111111111</v>
      </c>
      <c r="BD16" s="62"/>
      <c r="BE16" s="62"/>
      <c r="BF16" s="62"/>
      <c r="BG16" s="44"/>
      <c r="BH16" s="45" t="str">
        <f aca="false">(IF(BK16="","◄",""))</f>
        <v>◄</v>
      </c>
      <c r="BI16" s="46" t="n">
        <v>0.1</v>
      </c>
      <c r="BJ16" s="47" t="n">
        <f aca="false">(IF(BF16&lt;&gt;"",1/2,0)+IF(BG16&lt;&gt;"",1,0))*BI16*BI$11*20</f>
        <v>0</v>
      </c>
      <c r="BK16" s="48" t="str">
        <f aca="false">IF(COUNTBLANK(BD16:BG16)=3,1,"")</f>
        <v/>
      </c>
      <c r="BL16" s="49" t="n">
        <f aca="false">IF(BD16="",BI16,0)</f>
        <v>0.1</v>
      </c>
      <c r="BM16" s="50" t="n">
        <f aca="false">IF(BL16=0,0,BI16/SUM(BL$12:BL$19))</f>
        <v>0.111111111111111</v>
      </c>
      <c r="BN16" s="62"/>
      <c r="BO16" s="62"/>
      <c r="BP16" s="62"/>
      <c r="BQ16" s="44"/>
      <c r="BR16" s="45" t="str">
        <f aca="false">(IF(BU16="","◄",""))</f>
        <v>◄</v>
      </c>
      <c r="BS16" s="46" t="n">
        <v>0.1</v>
      </c>
      <c r="BT16" s="47" t="n">
        <f aca="false">(IF(BP16&lt;&gt;"",1/2,0)+IF(BQ16&lt;&gt;"",1,0))*BS16*BS$11*20</f>
        <v>0</v>
      </c>
      <c r="BU16" s="48" t="str">
        <f aca="false">IF(COUNTBLANK(BN16:BQ16)=3,1,"")</f>
        <v/>
      </c>
      <c r="BV16" s="49" t="n">
        <f aca="false">IF(BN16="",BS16,0)</f>
        <v>0.1</v>
      </c>
      <c r="BW16" s="50" t="n">
        <f aca="false">IF(BV16=0,0,BS16/SUM(BV$12:BV$19))</f>
        <v>0.111111111111111</v>
      </c>
      <c r="BX16" s="62"/>
      <c r="BY16" s="62"/>
      <c r="BZ16" s="62"/>
      <c r="CA16" s="44"/>
      <c r="CB16" s="45" t="str">
        <f aca="false">(IF(CE16="","◄",""))</f>
        <v>◄</v>
      </c>
      <c r="CC16" s="46" t="n">
        <v>0.1</v>
      </c>
      <c r="CD16" s="47" t="n">
        <f aca="false">(IF(BZ16&lt;&gt;"",1/2,0)+IF(CA16&lt;&gt;"",1,0))*CC16*CC$11*20</f>
        <v>0</v>
      </c>
      <c r="CE16" s="48" t="str">
        <f aca="false">IF(COUNTBLANK(BX16:CA16)=3,1,"")</f>
        <v/>
      </c>
      <c r="CF16" s="49" t="n">
        <f aca="false">IF(BX16="",CC16,0)</f>
        <v>0.1</v>
      </c>
      <c r="CG16" s="50" t="n">
        <f aca="false">IF(CF16=0,0,CC16/SUM(CF$12:CF$19))</f>
        <v>0.111111111111111</v>
      </c>
      <c r="CH16" s="62"/>
      <c r="CI16" s="62"/>
      <c r="CJ16" s="62"/>
      <c r="CK16" s="44"/>
      <c r="CL16" s="45" t="str">
        <f aca="false">(IF(CO16="","◄",""))</f>
        <v>◄</v>
      </c>
      <c r="CM16" s="46" t="n">
        <v>0.1</v>
      </c>
      <c r="CN16" s="47" t="n">
        <f aca="false">(IF(CJ16&lt;&gt;"",1/2,0)+IF(CK16&lt;&gt;"",1,0))*CM16*CM$11*20</f>
        <v>0</v>
      </c>
      <c r="CO16" s="48" t="str">
        <f aca="false">IF(COUNTBLANK(CH16:CK16)=3,1,"")</f>
        <v/>
      </c>
      <c r="CP16" s="49" t="n">
        <f aca="false">IF(CH16="",CM16,0)</f>
        <v>0.1</v>
      </c>
      <c r="CQ16" s="50" t="n">
        <f aca="false">IF(CP16=0,0,CM16/SUM(CP$12:CP$19))</f>
        <v>0.111111111111111</v>
      </c>
      <c r="CR16" s="62"/>
      <c r="CS16" s="62"/>
      <c r="CT16" s="62"/>
      <c r="CU16" s="44"/>
      <c r="CV16" s="45" t="str">
        <f aca="false">(IF(CY16="","◄",""))</f>
        <v>◄</v>
      </c>
      <c r="CW16" s="46" t="n">
        <v>0.1</v>
      </c>
      <c r="CX16" s="47" t="n">
        <f aca="false">(IF(CT16&lt;&gt;"",1/2,0)+IF(CU16&lt;&gt;"",1,0))*CW16*CW$11*20</f>
        <v>0</v>
      </c>
      <c r="CY16" s="48" t="str">
        <f aca="false">IF(COUNTBLANK(CR16:CU16)=3,1,"")</f>
        <v/>
      </c>
      <c r="CZ16" s="49" t="n">
        <f aca="false">IF(CR16="",CW16,0)</f>
        <v>0.1</v>
      </c>
      <c r="DA16" s="50" t="n">
        <f aca="false">IF(CZ16=0,0,CW16/SUM(CZ$12:CZ$19))</f>
        <v>0.111111111111111</v>
      </c>
      <c r="DB16" s="62"/>
      <c r="DC16" s="62"/>
      <c r="DD16" s="62"/>
      <c r="DE16" s="44"/>
      <c r="DF16" s="45" t="str">
        <f aca="false">(IF(DI16="","◄",""))</f>
        <v>◄</v>
      </c>
      <c r="DG16" s="46" t="n">
        <v>0.1</v>
      </c>
      <c r="DH16" s="47" t="n">
        <f aca="false">(IF(DD16&lt;&gt;"",1/2,0)+IF(DE16&lt;&gt;"",1,0))*DG16*DG$11*20</f>
        <v>0</v>
      </c>
      <c r="DI16" s="48" t="str">
        <f aca="false">IF(COUNTBLANK(DB16:DE16)=3,1,"")</f>
        <v/>
      </c>
      <c r="DJ16" s="49" t="n">
        <f aca="false">IF(DB16="",DG16,0)</f>
        <v>0.1</v>
      </c>
      <c r="DK16" s="50" t="n">
        <f aca="false">IF(DJ16=0,0,DG16/SUM(DJ$12:DJ$19))</f>
        <v>0.111111111111111</v>
      </c>
      <c r="DL16" s="62"/>
      <c r="DM16" s="62"/>
      <c r="DN16" s="62"/>
      <c r="DO16" s="44"/>
      <c r="DP16" s="45" t="str">
        <f aca="false">(IF(DS16="","◄",""))</f>
        <v>◄</v>
      </c>
      <c r="DQ16" s="46" t="n">
        <v>0.1</v>
      </c>
      <c r="DR16" s="47" t="n">
        <f aca="false">(IF(DN16&lt;&gt;"",1/2,0)+IF(DO16&lt;&gt;"",1,0))*DQ16*DQ$11*20</f>
        <v>0</v>
      </c>
      <c r="DS16" s="48" t="str">
        <f aca="false">IF(COUNTBLANK(DL16:DO16)=3,1,"")</f>
        <v/>
      </c>
      <c r="DT16" s="49" t="n">
        <f aca="false">IF(DL16="",DQ16,0)</f>
        <v>0.1</v>
      </c>
      <c r="DU16" s="50" t="n">
        <f aca="false">IF(DT16=0,0,DQ16/SUM(DT$12:DT$19))</f>
        <v>0.111111111111111</v>
      </c>
      <c r="DV16" s="62"/>
      <c r="DW16" s="62"/>
      <c r="DX16" s="62"/>
      <c r="DY16" s="44"/>
      <c r="DZ16" s="45" t="str">
        <f aca="false">(IF(EC16="","◄",""))</f>
        <v>◄</v>
      </c>
      <c r="EA16" s="46" t="n">
        <v>0.1</v>
      </c>
      <c r="EB16" s="47" t="n">
        <f aca="false">(IF(DX16&lt;&gt;"",1/2,0)+IF(DY16&lt;&gt;"",1,0))*EA16*EA$11*20</f>
        <v>0</v>
      </c>
      <c r="EC16" s="48" t="str">
        <f aca="false">IF(COUNTBLANK(DV16:DY16)=3,1,"")</f>
        <v/>
      </c>
      <c r="ED16" s="49" t="n">
        <f aca="false">IF(DV16="",EA16,0)</f>
        <v>0.1</v>
      </c>
      <c r="EE16" s="50" t="n">
        <f aca="false">IF(ED16=0,0,EA16/SUM(ED$12:ED$19))</f>
        <v>0.111111111111111</v>
      </c>
      <c r="EF16" s="62"/>
      <c r="EG16" s="62"/>
      <c r="EH16" s="62"/>
      <c r="EI16" s="44"/>
      <c r="EJ16" s="45" t="str">
        <f aca="false">(IF(EM16="","◄",""))</f>
        <v>◄</v>
      </c>
      <c r="EK16" s="46" t="n">
        <v>0.1</v>
      </c>
      <c r="EL16" s="47" t="n">
        <f aca="false">(IF(EH16&lt;&gt;"",1/2,0)+IF(EI16&lt;&gt;"",1,0))*EK16*EK$11*20</f>
        <v>0</v>
      </c>
      <c r="EM16" s="48" t="str">
        <f aca="false">IF(COUNTBLANK(EF16:EI16)=3,1,"")</f>
        <v/>
      </c>
      <c r="EN16" s="49" t="n">
        <f aca="false">IF(EF16="",EK16,0)</f>
        <v>0.1</v>
      </c>
      <c r="EO16" s="50" t="n">
        <f aca="false">IF(EN16=0,0,EK16/SUM(EN$12:EN$19))</f>
        <v>0.111111111111111</v>
      </c>
      <c r="EP16" s="62"/>
      <c r="EQ16" s="62"/>
      <c r="ER16" s="62"/>
      <c r="ES16" s="44"/>
      <c r="ET16" s="45" t="str">
        <f aca="false">(IF(EW16="","◄",""))</f>
        <v>◄</v>
      </c>
      <c r="EU16" s="46" t="n">
        <v>0.1</v>
      </c>
      <c r="EV16" s="47" t="n">
        <f aca="false">(IF(ER16&lt;&gt;"",1/2,0)+IF(ES16&lt;&gt;"",1,0))*EU16*EU$11*20</f>
        <v>0</v>
      </c>
      <c r="EW16" s="48" t="str">
        <f aca="false">IF(COUNTBLANK(EP16:ES16)=3,1,"")</f>
        <v/>
      </c>
      <c r="EX16" s="49" t="n">
        <f aca="false">IF(EP16="",EU16,0)</f>
        <v>0.1</v>
      </c>
      <c r="EY16" s="50" t="n">
        <f aca="false">IF(EX16=0,0,EU16/SUM(EX$12:EX$19))</f>
        <v>0.111111111111111</v>
      </c>
      <c r="EZ16" s="62"/>
      <c r="FA16" s="62"/>
      <c r="FB16" s="62"/>
      <c r="FC16" s="44"/>
      <c r="FD16" s="45" t="str">
        <f aca="false">(IF(FG16="","◄",""))</f>
        <v>◄</v>
      </c>
      <c r="FE16" s="46" t="n">
        <v>0.1</v>
      </c>
      <c r="FF16" s="47" t="n">
        <f aca="false">(IF(FB16&lt;&gt;"",1/2,0)+IF(FC16&lt;&gt;"",1,0))*FE16*FE$11*20</f>
        <v>0</v>
      </c>
      <c r="FG16" s="48" t="str">
        <f aca="false">IF(COUNTBLANK(EZ16:FC16)=3,1,"")</f>
        <v/>
      </c>
      <c r="FH16" s="49" t="n">
        <f aca="false">IF(EZ16="",FE16,0)</f>
        <v>0.1</v>
      </c>
      <c r="FI16" s="50" t="n">
        <f aca="false">IF(FH16=0,0,FE16/SUM(FH$12:FH$19))</f>
        <v>0.111111111111111</v>
      </c>
      <c r="FJ16" s="62"/>
      <c r="FK16" s="62"/>
      <c r="FL16" s="62"/>
      <c r="FM16" s="44"/>
      <c r="FN16" s="45" t="str">
        <f aca="false">(IF(FQ16="","◄",""))</f>
        <v>◄</v>
      </c>
      <c r="FO16" s="46" t="n">
        <v>0.1</v>
      </c>
      <c r="FP16" s="47" t="n">
        <f aca="false">(IF(FL16&lt;&gt;"",1/2,0)+IF(FM16&lt;&gt;"",1,0))*FO16*FO$11*20</f>
        <v>0</v>
      </c>
      <c r="FQ16" s="48" t="str">
        <f aca="false">IF(COUNTBLANK(FJ16:FM16)=3,1,"")</f>
        <v/>
      </c>
      <c r="FR16" s="49" t="n">
        <f aca="false">IF(FJ16="",FO16,0)</f>
        <v>0.1</v>
      </c>
      <c r="FS16" s="50" t="n">
        <f aca="false">IF(FR16=0,0,FO16/SUM(FR$12:FR$19))</f>
        <v>0.111111111111111</v>
      </c>
      <c r="FT16" s="62"/>
      <c r="FU16" s="62"/>
      <c r="FV16" s="62"/>
      <c r="FW16" s="44"/>
      <c r="FX16" s="45" t="str">
        <f aca="false">(IF(GA16="","◄",""))</f>
        <v>◄</v>
      </c>
      <c r="FY16" s="46" t="n">
        <v>0.1</v>
      </c>
      <c r="FZ16" s="47" t="n">
        <f aca="false">(IF(FV16&lt;&gt;"",1/2,0)+IF(FW16&lt;&gt;"",1,0))*FY16*FY$11*20</f>
        <v>0</v>
      </c>
      <c r="GA16" s="48" t="str">
        <f aca="false">IF(COUNTBLANK(FT16:FW16)=3,1,"")</f>
        <v/>
      </c>
      <c r="GB16" s="49" t="n">
        <f aca="false">IF(FT16="",FY16,0)</f>
        <v>0.1</v>
      </c>
      <c r="GC16" s="50" t="n">
        <f aca="false">IF(GB16=0,0,FY16/SUM(GB$12:GB$19))</f>
        <v>0.111111111111111</v>
      </c>
      <c r="GD16" s="62"/>
      <c r="GE16" s="62"/>
      <c r="GF16" s="62"/>
      <c r="GG16" s="44"/>
      <c r="GH16" s="45" t="str">
        <f aca="false">(IF(GK16="","◄",""))</f>
        <v>◄</v>
      </c>
      <c r="GI16" s="46" t="n">
        <v>0.1</v>
      </c>
      <c r="GJ16" s="47" t="n">
        <f aca="false">(IF(GF16&lt;&gt;"",1/2,0)+IF(GG16&lt;&gt;"",1,0))*GI16*GI$11*20</f>
        <v>0</v>
      </c>
      <c r="GK16" s="48" t="str">
        <f aca="false">IF(COUNTBLANK(GD16:GG16)=3,1,"")</f>
        <v/>
      </c>
      <c r="GL16" s="49" t="n">
        <f aca="false">IF(GD16="",GI16,0)</f>
        <v>0.1</v>
      </c>
      <c r="GM16" s="50" t="n">
        <f aca="false">IF(GL16=0,0,GI16/SUM(GL$12:GL$19))</f>
        <v>0.111111111111111</v>
      </c>
      <c r="GN16" s="62"/>
      <c r="GO16" s="62"/>
      <c r="GP16" s="62"/>
      <c r="GQ16" s="44"/>
      <c r="GR16" s="45" t="str">
        <f aca="false">(IF(GU16="","◄",""))</f>
        <v>◄</v>
      </c>
      <c r="GS16" s="46" t="n">
        <v>0.1</v>
      </c>
      <c r="GT16" s="47" t="n">
        <f aca="false">(IF(GP16&lt;&gt;"",1/2,0)+IF(GQ16&lt;&gt;"",1,0))*GS16*GS$11*20</f>
        <v>0</v>
      </c>
      <c r="GU16" s="48" t="str">
        <f aca="false">IF(COUNTBLANK(GN16:GQ16)=3,1,"")</f>
        <v/>
      </c>
      <c r="GV16" s="49" t="n">
        <f aca="false">IF(GN16="",GS16,0)</f>
        <v>0.1</v>
      </c>
      <c r="GW16" s="50" t="n">
        <f aca="false">IF(GV16=0,0,GS16/SUM(GV$12:GV$19))</f>
        <v>0.111111111111111</v>
      </c>
      <c r="GX16" s="62"/>
      <c r="GY16" s="62"/>
      <c r="GZ16" s="62"/>
      <c r="HA16" s="44"/>
      <c r="HB16" s="45" t="str">
        <f aca="false">(IF(HE16="","◄",""))</f>
        <v>◄</v>
      </c>
      <c r="HC16" s="46" t="n">
        <v>0.1</v>
      </c>
      <c r="HD16" s="47" t="n">
        <f aca="false">(IF(GZ16&lt;&gt;"",1/2,0)+IF(HA16&lt;&gt;"",1,0))*HC16*HC$11*20</f>
        <v>0</v>
      </c>
      <c r="HE16" s="48" t="str">
        <f aca="false">IF(COUNTBLANK(GX16:HA16)=3,1,"")</f>
        <v/>
      </c>
      <c r="HF16" s="49" t="n">
        <f aca="false">IF(GX16="",HC16,0)</f>
        <v>0.1</v>
      </c>
      <c r="HG16" s="50" t="n">
        <f aca="false">IF(HF16=0,0,HC16/SUM(HF$12:HF$19))</f>
        <v>0.111111111111111</v>
      </c>
      <c r="HH16" s="62"/>
      <c r="HI16" s="62"/>
      <c r="HJ16" s="62"/>
      <c r="HK16" s="44"/>
      <c r="HL16" s="45" t="str">
        <f aca="false">(IF(HO16="","◄",""))</f>
        <v>◄</v>
      </c>
      <c r="HM16" s="46" t="n">
        <v>0.1</v>
      </c>
      <c r="HN16" s="47" t="n">
        <f aca="false">(IF(HJ16&lt;&gt;"",1/2,0)+IF(HK16&lt;&gt;"",1,0))*HM16*HM$11*20</f>
        <v>0</v>
      </c>
      <c r="HO16" s="48" t="str">
        <f aca="false">IF(COUNTBLANK(HH16:HK16)=3,1,"")</f>
        <v/>
      </c>
      <c r="HP16" s="49" t="n">
        <f aca="false">IF(HH16="",HM16,0)</f>
        <v>0.1</v>
      </c>
      <c r="HQ16" s="50" t="n">
        <f aca="false">IF(HP16=0,0,HM16/SUM(HP$12:HP$19))</f>
        <v>0.111111111111111</v>
      </c>
      <c r="HR16" s="62"/>
      <c r="HS16" s="62"/>
      <c r="HT16" s="62"/>
      <c r="HU16" s="44"/>
      <c r="HV16" s="45" t="str">
        <f aca="false">(IF(HY16="","◄",""))</f>
        <v>◄</v>
      </c>
      <c r="HW16" s="46" t="n">
        <v>0.1</v>
      </c>
      <c r="HX16" s="47" t="n">
        <f aca="false">(IF(HT16&lt;&gt;"",1/2,0)+IF(HU16&lt;&gt;"",1,0))*HW16*HW$11*20</f>
        <v>0</v>
      </c>
      <c r="HY16" s="48" t="str">
        <f aca="false">IF(COUNTBLANK(HR16:HU16)=3,1,"")</f>
        <v/>
      </c>
      <c r="HZ16" s="49" t="n">
        <f aca="false">IF(HR16="",HW16,0)</f>
        <v>0.1</v>
      </c>
      <c r="IA16" s="50" t="n">
        <f aca="false">IF(HZ16=0,0,HW16/SUM(HZ$12:HZ$19))</f>
        <v>0.111111111111111</v>
      </c>
      <c r="IB16" s="62"/>
      <c r="IC16" s="62"/>
      <c r="ID16" s="62"/>
      <c r="IE16" s="44"/>
      <c r="IF16" s="45" t="str">
        <f aca="false">(IF(II16="","◄",""))</f>
        <v>◄</v>
      </c>
      <c r="IG16" s="46" t="n">
        <v>0.1</v>
      </c>
      <c r="IH16" s="47" t="n">
        <f aca="false">(IF(ID16&lt;&gt;"",1/2,0)+IF(IE16&lt;&gt;"",1,0))*IG16*IG$11*20</f>
        <v>0</v>
      </c>
      <c r="II16" s="48" t="str">
        <f aca="false">IF(COUNTBLANK(IB16:IE16)=3,1,"")</f>
        <v/>
      </c>
      <c r="IJ16" s="49" t="n">
        <f aca="false">IF(IB16="",IG16,0)</f>
        <v>0.1</v>
      </c>
      <c r="IK16" s="50" t="n">
        <f aca="false">IF(IJ16=0,0,IG16/SUM(IJ$12:IJ$19))</f>
        <v>0.111111111111111</v>
      </c>
    </row>
    <row r="17" customFormat="false" ht="49.5" hidden="false" customHeight="true" outlineLevel="0" collapsed="false">
      <c r="A17" s="39" t="n">
        <v>14</v>
      </c>
      <c r="B17" s="40" t="s">
        <v>46</v>
      </c>
      <c r="C17" s="63" t="n">
        <f aca="false">$EH$43</f>
        <v>0</v>
      </c>
      <c r="D17" s="52"/>
      <c r="E17" s="53" t="s">
        <v>47</v>
      </c>
      <c r="F17" s="62"/>
      <c r="G17" s="62"/>
      <c r="H17" s="62"/>
      <c r="I17" s="44"/>
      <c r="J17" s="45" t="str">
        <f aca="false">(IF(M17="","◄",""))</f>
        <v>◄</v>
      </c>
      <c r="K17" s="46" t="n">
        <v>0.1</v>
      </c>
      <c r="L17" s="47" t="n">
        <f aca="false">(IF(H17&lt;&gt;"",1/2,0)+IF(I17&lt;&gt;"",1,0))*K17*K$11*20</f>
        <v>0</v>
      </c>
      <c r="M17" s="48" t="str">
        <f aca="false">IF(COUNTBLANK(F17:I17)=3,1,"")</f>
        <v/>
      </c>
      <c r="N17" s="49" t="n">
        <f aca="false">IF(F17="",K17,0)</f>
        <v>0.2</v>
      </c>
      <c r="O17" s="50" t="n">
        <f aca="false">IF(N17=0,0,K17/SUM(N$12:N$19))</f>
        <v>0.222222222222222</v>
      </c>
      <c r="P17" s="62"/>
      <c r="Q17" s="62"/>
      <c r="R17" s="62"/>
      <c r="S17" s="44"/>
      <c r="T17" s="45" t="str">
        <f aca="false">(IF(W17="","◄",""))</f>
        <v>◄</v>
      </c>
      <c r="U17" s="46" t="n">
        <v>0.2</v>
      </c>
      <c r="V17" s="47" t="n">
        <f aca="false">(IF(R17&lt;&gt;"",1/2,0)+IF(S17&lt;&gt;"",1,0))*U17*U$11*20</f>
        <v>0</v>
      </c>
      <c r="W17" s="48" t="str">
        <f aca="false">IF(COUNTBLANK(P17:S17)=3,1,"")</f>
        <v/>
      </c>
      <c r="X17" s="49" t="n">
        <f aca="false">IF(P17="",U17,0)</f>
        <v>0.2</v>
      </c>
      <c r="Y17" s="50" t="n">
        <f aca="false">IF(X17=0,0,U17/SUM(X$12:X$19))</f>
        <v>0.222222222222222</v>
      </c>
      <c r="Z17" s="62"/>
      <c r="AA17" s="62"/>
      <c r="AB17" s="62"/>
      <c r="AC17" s="44"/>
      <c r="AD17" s="45" t="str">
        <f aca="false">(IF(AG17="","◄",""))</f>
        <v>◄</v>
      </c>
      <c r="AE17" s="46" t="n">
        <v>0.2</v>
      </c>
      <c r="AF17" s="47" t="n">
        <f aca="false">(IF(AB17&lt;&gt;"",1/2,0)+IF(AC17&lt;&gt;"",1,0))*AE17*AE$11*20</f>
        <v>0</v>
      </c>
      <c r="AG17" s="48" t="str">
        <f aca="false">IF(COUNTBLANK(Z17:AC17)=3,1,"")</f>
        <v/>
      </c>
      <c r="AH17" s="49" t="n">
        <f aca="false">IF(Z17="",AE17,0)</f>
        <v>0.2</v>
      </c>
      <c r="AI17" s="50" t="n">
        <f aca="false">IF(AH17=0,0,AE17/SUM(AH$12:AH$19))</f>
        <v>0.222222222222222</v>
      </c>
      <c r="AJ17" s="62"/>
      <c r="AK17" s="62"/>
      <c r="AL17" s="62"/>
      <c r="AM17" s="44"/>
      <c r="AN17" s="45" t="str">
        <f aca="false">(IF(AQ17="","◄",""))</f>
        <v>◄</v>
      </c>
      <c r="AO17" s="46" t="n">
        <v>0.2</v>
      </c>
      <c r="AP17" s="47" t="n">
        <f aca="false">(IF(AL17&lt;&gt;"",1/2,0)+IF(AM17&lt;&gt;"",1,0))*AO17*AO$11*20</f>
        <v>0</v>
      </c>
      <c r="AQ17" s="48" t="str">
        <f aca="false">IF(COUNTBLANK(AJ17:AM17)=3,1,"")</f>
        <v/>
      </c>
      <c r="AR17" s="49" t="n">
        <f aca="false">IF(AJ17="",AO17,0)</f>
        <v>0.2</v>
      </c>
      <c r="AS17" s="50" t="n">
        <f aca="false">IF(AR17=0,0,AO17/SUM(AR$12:AR$19))</f>
        <v>0.222222222222222</v>
      </c>
      <c r="AT17" s="62"/>
      <c r="AU17" s="62"/>
      <c r="AV17" s="62"/>
      <c r="AW17" s="44"/>
      <c r="AX17" s="45" t="str">
        <f aca="false">(IF(BA17="","◄",""))</f>
        <v>◄</v>
      </c>
      <c r="AY17" s="46" t="n">
        <v>0.2</v>
      </c>
      <c r="AZ17" s="47" t="n">
        <f aca="false">(IF(AV17&lt;&gt;"",1/2,0)+IF(AW17&lt;&gt;"",1,0))*AY17*AY$11*20</f>
        <v>0</v>
      </c>
      <c r="BA17" s="48" t="str">
        <f aca="false">IF(COUNTBLANK(AT17:AW17)=3,1,"")</f>
        <v/>
      </c>
      <c r="BB17" s="49" t="n">
        <f aca="false">IF(AT17="",AY17,0)</f>
        <v>0.2</v>
      </c>
      <c r="BC17" s="50" t="n">
        <f aca="false">IF(BB17=0,0,AY17/SUM(BB$12:BB$19))</f>
        <v>0.222222222222222</v>
      </c>
      <c r="BD17" s="62"/>
      <c r="BE17" s="62"/>
      <c r="BF17" s="62"/>
      <c r="BG17" s="44"/>
      <c r="BH17" s="45" t="str">
        <f aca="false">(IF(BK17="","◄",""))</f>
        <v>◄</v>
      </c>
      <c r="BI17" s="46" t="n">
        <v>0.2</v>
      </c>
      <c r="BJ17" s="47" t="n">
        <f aca="false">(IF(BF17&lt;&gt;"",1/2,0)+IF(BG17&lt;&gt;"",1,0))*BI17*BI$11*20</f>
        <v>0</v>
      </c>
      <c r="BK17" s="48" t="str">
        <f aca="false">IF(COUNTBLANK(BD17:BG17)=3,1,"")</f>
        <v/>
      </c>
      <c r="BL17" s="49" t="n">
        <f aca="false">IF(BD17="",BI17,0)</f>
        <v>0.2</v>
      </c>
      <c r="BM17" s="50" t="n">
        <f aca="false">IF(BL17=0,0,BI17/SUM(BL$12:BL$19))</f>
        <v>0.222222222222222</v>
      </c>
      <c r="BN17" s="62"/>
      <c r="BO17" s="62"/>
      <c r="BP17" s="62"/>
      <c r="BQ17" s="44"/>
      <c r="BR17" s="45" t="str">
        <f aca="false">(IF(BU17="","◄",""))</f>
        <v>◄</v>
      </c>
      <c r="BS17" s="46" t="n">
        <v>0.2</v>
      </c>
      <c r="BT17" s="47" t="n">
        <f aca="false">(IF(BP17&lt;&gt;"",1/2,0)+IF(BQ17&lt;&gt;"",1,0))*BS17*BS$11*20</f>
        <v>0</v>
      </c>
      <c r="BU17" s="48" t="str">
        <f aca="false">IF(COUNTBLANK(BN17:BQ17)=3,1,"")</f>
        <v/>
      </c>
      <c r="BV17" s="49" t="n">
        <f aca="false">IF(BN17="",BS17,0)</f>
        <v>0.2</v>
      </c>
      <c r="BW17" s="50" t="n">
        <f aca="false">IF(BV17=0,0,BS17/SUM(BV$12:BV$19))</f>
        <v>0.222222222222222</v>
      </c>
      <c r="BX17" s="62"/>
      <c r="BY17" s="62"/>
      <c r="BZ17" s="62"/>
      <c r="CA17" s="44"/>
      <c r="CB17" s="45" t="str">
        <f aca="false">(IF(CE17="","◄",""))</f>
        <v>◄</v>
      </c>
      <c r="CC17" s="46" t="n">
        <v>0.2</v>
      </c>
      <c r="CD17" s="47" t="n">
        <f aca="false">(IF(BZ17&lt;&gt;"",1/2,0)+IF(CA17&lt;&gt;"",1,0))*CC17*CC$11*20</f>
        <v>0</v>
      </c>
      <c r="CE17" s="48" t="str">
        <f aca="false">IF(COUNTBLANK(BX17:CA17)=3,1,"")</f>
        <v/>
      </c>
      <c r="CF17" s="49" t="n">
        <f aca="false">IF(BX17="",CC17,0)</f>
        <v>0.2</v>
      </c>
      <c r="CG17" s="50" t="n">
        <f aca="false">IF(CF17=0,0,CC17/SUM(CF$12:CF$19))</f>
        <v>0.222222222222222</v>
      </c>
      <c r="CH17" s="62"/>
      <c r="CI17" s="62"/>
      <c r="CJ17" s="62"/>
      <c r="CK17" s="44"/>
      <c r="CL17" s="45" t="str">
        <f aca="false">(IF(CO17="","◄",""))</f>
        <v>◄</v>
      </c>
      <c r="CM17" s="46" t="n">
        <v>0.2</v>
      </c>
      <c r="CN17" s="47" t="n">
        <f aca="false">(IF(CJ17&lt;&gt;"",1/2,0)+IF(CK17&lt;&gt;"",1,0))*CM17*CM$11*20</f>
        <v>0</v>
      </c>
      <c r="CO17" s="48" t="str">
        <f aca="false">IF(COUNTBLANK(CH17:CK17)=3,1,"")</f>
        <v/>
      </c>
      <c r="CP17" s="49" t="n">
        <f aca="false">IF(CH17="",CM17,0)</f>
        <v>0.2</v>
      </c>
      <c r="CQ17" s="50" t="n">
        <f aca="false">IF(CP17=0,0,CM17/SUM(CP$12:CP$19))</f>
        <v>0.222222222222222</v>
      </c>
      <c r="CR17" s="62"/>
      <c r="CS17" s="62"/>
      <c r="CT17" s="62"/>
      <c r="CU17" s="44"/>
      <c r="CV17" s="45" t="str">
        <f aca="false">(IF(CY17="","◄",""))</f>
        <v>◄</v>
      </c>
      <c r="CW17" s="46" t="n">
        <v>0.2</v>
      </c>
      <c r="CX17" s="47" t="n">
        <f aca="false">(IF(CT17&lt;&gt;"",1/2,0)+IF(CU17&lt;&gt;"",1,0))*CW17*CW$11*20</f>
        <v>0</v>
      </c>
      <c r="CY17" s="48" t="str">
        <f aca="false">IF(COUNTBLANK(CR17:CU17)=3,1,"")</f>
        <v/>
      </c>
      <c r="CZ17" s="49" t="n">
        <f aca="false">IF(CR17="",CW17,0)</f>
        <v>0.2</v>
      </c>
      <c r="DA17" s="50" t="n">
        <f aca="false">IF(CZ17=0,0,CW17/SUM(CZ$12:CZ$19))</f>
        <v>0.222222222222222</v>
      </c>
      <c r="DB17" s="62"/>
      <c r="DC17" s="62"/>
      <c r="DD17" s="62"/>
      <c r="DE17" s="44"/>
      <c r="DF17" s="45" t="str">
        <f aca="false">(IF(DI17="","◄",""))</f>
        <v>◄</v>
      </c>
      <c r="DG17" s="46" t="n">
        <v>0.2</v>
      </c>
      <c r="DH17" s="47" t="n">
        <f aca="false">(IF(DD17&lt;&gt;"",1/2,0)+IF(DE17&lt;&gt;"",1,0))*DG17*DG$11*20</f>
        <v>0</v>
      </c>
      <c r="DI17" s="48" t="str">
        <f aca="false">IF(COUNTBLANK(DB17:DE17)=3,1,"")</f>
        <v/>
      </c>
      <c r="DJ17" s="49" t="n">
        <f aca="false">IF(DB17="",DG17,0)</f>
        <v>0.2</v>
      </c>
      <c r="DK17" s="50" t="n">
        <f aca="false">IF(DJ17=0,0,DG17/SUM(DJ$12:DJ$19))</f>
        <v>0.222222222222222</v>
      </c>
      <c r="DL17" s="62"/>
      <c r="DM17" s="62"/>
      <c r="DN17" s="62"/>
      <c r="DO17" s="44"/>
      <c r="DP17" s="45" t="str">
        <f aca="false">(IF(DS17="","◄",""))</f>
        <v>◄</v>
      </c>
      <c r="DQ17" s="46" t="n">
        <v>0.2</v>
      </c>
      <c r="DR17" s="47" t="n">
        <f aca="false">(IF(DN17&lt;&gt;"",1/2,0)+IF(DO17&lt;&gt;"",1,0))*DQ17*DQ$11*20</f>
        <v>0</v>
      </c>
      <c r="DS17" s="48" t="str">
        <f aca="false">IF(COUNTBLANK(DL17:DO17)=3,1,"")</f>
        <v/>
      </c>
      <c r="DT17" s="49" t="n">
        <f aca="false">IF(DL17="",DQ17,0)</f>
        <v>0.2</v>
      </c>
      <c r="DU17" s="50" t="n">
        <f aca="false">IF(DT17=0,0,DQ17/SUM(DT$12:DT$19))</f>
        <v>0.222222222222222</v>
      </c>
      <c r="DV17" s="62"/>
      <c r="DW17" s="62"/>
      <c r="DX17" s="62"/>
      <c r="DY17" s="44"/>
      <c r="DZ17" s="45" t="str">
        <f aca="false">(IF(EC17="","◄",""))</f>
        <v>◄</v>
      </c>
      <c r="EA17" s="46" t="n">
        <v>0.2</v>
      </c>
      <c r="EB17" s="47" t="n">
        <f aca="false">(IF(DX17&lt;&gt;"",1/2,0)+IF(DY17&lt;&gt;"",1,0))*EA17*EA$11*20</f>
        <v>0</v>
      </c>
      <c r="EC17" s="48" t="str">
        <f aca="false">IF(COUNTBLANK(DV17:DY17)=3,1,"")</f>
        <v/>
      </c>
      <c r="ED17" s="49" t="n">
        <f aca="false">IF(DV17="",EA17,0)</f>
        <v>0.2</v>
      </c>
      <c r="EE17" s="50" t="n">
        <f aca="false">IF(ED17=0,0,EA17/SUM(ED$12:ED$19))</f>
        <v>0.222222222222222</v>
      </c>
      <c r="EF17" s="62"/>
      <c r="EG17" s="62"/>
      <c r="EH17" s="62"/>
      <c r="EI17" s="44"/>
      <c r="EJ17" s="45" t="str">
        <f aca="false">(IF(EM17="","◄",""))</f>
        <v>◄</v>
      </c>
      <c r="EK17" s="46" t="n">
        <v>0.2</v>
      </c>
      <c r="EL17" s="47" t="n">
        <f aca="false">(IF(EH17&lt;&gt;"",1/2,0)+IF(EI17&lt;&gt;"",1,0))*EK17*EK$11*20</f>
        <v>0</v>
      </c>
      <c r="EM17" s="48" t="str">
        <f aca="false">IF(COUNTBLANK(EF17:EI17)=3,1,"")</f>
        <v/>
      </c>
      <c r="EN17" s="49" t="n">
        <f aca="false">IF(EF17="",EK17,0)</f>
        <v>0.2</v>
      </c>
      <c r="EO17" s="50" t="n">
        <f aca="false">IF(EN17=0,0,EK17/SUM(EN$12:EN$19))</f>
        <v>0.222222222222222</v>
      </c>
      <c r="EP17" s="62"/>
      <c r="EQ17" s="62"/>
      <c r="ER17" s="62"/>
      <c r="ES17" s="44"/>
      <c r="ET17" s="45" t="str">
        <f aca="false">(IF(EW17="","◄",""))</f>
        <v>◄</v>
      </c>
      <c r="EU17" s="46" t="n">
        <v>0.2</v>
      </c>
      <c r="EV17" s="47" t="n">
        <f aca="false">(IF(ER17&lt;&gt;"",1/2,0)+IF(ES17&lt;&gt;"",1,0))*EU17*EU$11*20</f>
        <v>0</v>
      </c>
      <c r="EW17" s="48" t="str">
        <f aca="false">IF(COUNTBLANK(EP17:ES17)=3,1,"")</f>
        <v/>
      </c>
      <c r="EX17" s="49" t="n">
        <f aca="false">IF(EP17="",EU17,0)</f>
        <v>0.2</v>
      </c>
      <c r="EY17" s="50" t="n">
        <f aca="false">IF(EX17=0,0,EU17/SUM(EX$12:EX$19))</f>
        <v>0.222222222222222</v>
      </c>
      <c r="EZ17" s="62"/>
      <c r="FA17" s="62"/>
      <c r="FB17" s="62"/>
      <c r="FC17" s="44"/>
      <c r="FD17" s="45" t="str">
        <f aca="false">(IF(FG17="","◄",""))</f>
        <v>◄</v>
      </c>
      <c r="FE17" s="46" t="n">
        <v>0.2</v>
      </c>
      <c r="FF17" s="47" t="n">
        <f aca="false">(IF(FB17&lt;&gt;"",1/2,0)+IF(FC17&lt;&gt;"",1,0))*FE17*FE$11*20</f>
        <v>0</v>
      </c>
      <c r="FG17" s="48" t="str">
        <f aca="false">IF(COUNTBLANK(EZ17:FC17)=3,1,"")</f>
        <v/>
      </c>
      <c r="FH17" s="49" t="n">
        <f aca="false">IF(EZ17="",FE17,0)</f>
        <v>0.2</v>
      </c>
      <c r="FI17" s="50" t="n">
        <f aca="false">IF(FH17=0,0,FE17/SUM(FH$12:FH$19))</f>
        <v>0.222222222222222</v>
      </c>
      <c r="FJ17" s="62"/>
      <c r="FK17" s="62"/>
      <c r="FL17" s="62"/>
      <c r="FM17" s="44"/>
      <c r="FN17" s="45" t="str">
        <f aca="false">(IF(FQ17="","◄",""))</f>
        <v>◄</v>
      </c>
      <c r="FO17" s="46" t="n">
        <v>0.2</v>
      </c>
      <c r="FP17" s="47" t="n">
        <f aca="false">(IF(FL17&lt;&gt;"",1/2,0)+IF(FM17&lt;&gt;"",1,0))*FO17*FO$11*20</f>
        <v>0</v>
      </c>
      <c r="FQ17" s="48" t="str">
        <f aca="false">IF(COUNTBLANK(FJ17:FM17)=3,1,"")</f>
        <v/>
      </c>
      <c r="FR17" s="49" t="n">
        <f aca="false">IF(FJ17="",FO17,0)</f>
        <v>0.2</v>
      </c>
      <c r="FS17" s="50" t="n">
        <f aca="false">IF(FR17=0,0,FO17/SUM(FR$12:FR$19))</f>
        <v>0.222222222222222</v>
      </c>
      <c r="FT17" s="62"/>
      <c r="FU17" s="62"/>
      <c r="FV17" s="62"/>
      <c r="FW17" s="44"/>
      <c r="FX17" s="45" t="str">
        <f aca="false">(IF(GA17="","◄",""))</f>
        <v>◄</v>
      </c>
      <c r="FY17" s="46" t="n">
        <v>0.2</v>
      </c>
      <c r="FZ17" s="47" t="n">
        <f aca="false">(IF(FV17&lt;&gt;"",1/2,0)+IF(FW17&lt;&gt;"",1,0))*FY17*FY$11*20</f>
        <v>0</v>
      </c>
      <c r="GA17" s="48" t="str">
        <f aca="false">IF(COUNTBLANK(FT17:FW17)=3,1,"")</f>
        <v/>
      </c>
      <c r="GB17" s="49" t="n">
        <f aca="false">IF(FT17="",FY17,0)</f>
        <v>0.2</v>
      </c>
      <c r="GC17" s="50" t="n">
        <f aca="false">IF(GB17=0,0,FY17/SUM(GB$12:GB$19))</f>
        <v>0.222222222222222</v>
      </c>
      <c r="GD17" s="62"/>
      <c r="GE17" s="62"/>
      <c r="GF17" s="62"/>
      <c r="GG17" s="44"/>
      <c r="GH17" s="45" t="str">
        <f aca="false">(IF(GK17="","◄",""))</f>
        <v>◄</v>
      </c>
      <c r="GI17" s="46" t="n">
        <v>0.2</v>
      </c>
      <c r="GJ17" s="47" t="n">
        <f aca="false">(IF(GF17&lt;&gt;"",1/2,0)+IF(GG17&lt;&gt;"",1,0))*GI17*GI$11*20</f>
        <v>0</v>
      </c>
      <c r="GK17" s="48" t="str">
        <f aca="false">IF(COUNTBLANK(GD17:GG17)=3,1,"")</f>
        <v/>
      </c>
      <c r="GL17" s="49" t="n">
        <f aca="false">IF(GD17="",GI17,0)</f>
        <v>0.2</v>
      </c>
      <c r="GM17" s="50" t="n">
        <f aca="false">IF(GL17=0,0,GI17/SUM(GL$12:GL$19))</f>
        <v>0.222222222222222</v>
      </c>
      <c r="GN17" s="62"/>
      <c r="GO17" s="62"/>
      <c r="GP17" s="62"/>
      <c r="GQ17" s="44"/>
      <c r="GR17" s="45" t="str">
        <f aca="false">(IF(GU17="","◄",""))</f>
        <v>◄</v>
      </c>
      <c r="GS17" s="46" t="n">
        <v>0.2</v>
      </c>
      <c r="GT17" s="47" t="n">
        <f aca="false">(IF(GP17&lt;&gt;"",1/2,0)+IF(GQ17&lt;&gt;"",1,0))*GS17*GS$11*20</f>
        <v>0</v>
      </c>
      <c r="GU17" s="48" t="str">
        <f aca="false">IF(COUNTBLANK(GN17:GQ17)=3,1,"")</f>
        <v/>
      </c>
      <c r="GV17" s="49" t="n">
        <f aca="false">IF(GN17="",GS17,0)</f>
        <v>0.2</v>
      </c>
      <c r="GW17" s="50" t="n">
        <f aca="false">IF(GV17=0,0,GS17/SUM(GV$12:GV$19))</f>
        <v>0.222222222222222</v>
      </c>
      <c r="GX17" s="62"/>
      <c r="GY17" s="62"/>
      <c r="GZ17" s="62"/>
      <c r="HA17" s="44"/>
      <c r="HB17" s="45" t="str">
        <f aca="false">(IF(HE17="","◄",""))</f>
        <v>◄</v>
      </c>
      <c r="HC17" s="46" t="n">
        <v>0.2</v>
      </c>
      <c r="HD17" s="47" t="n">
        <f aca="false">(IF(GZ17&lt;&gt;"",1/2,0)+IF(HA17&lt;&gt;"",1,0))*HC17*HC$11*20</f>
        <v>0</v>
      </c>
      <c r="HE17" s="48" t="str">
        <f aca="false">IF(COUNTBLANK(GX17:HA17)=3,1,"")</f>
        <v/>
      </c>
      <c r="HF17" s="49" t="n">
        <f aca="false">IF(GX17="",HC17,0)</f>
        <v>0.2</v>
      </c>
      <c r="HG17" s="50" t="n">
        <f aca="false">IF(HF17=0,0,HC17/SUM(HF$12:HF$19))</f>
        <v>0.222222222222222</v>
      </c>
      <c r="HH17" s="62"/>
      <c r="HI17" s="62"/>
      <c r="HJ17" s="62"/>
      <c r="HK17" s="44"/>
      <c r="HL17" s="45" t="str">
        <f aca="false">(IF(HO17="","◄",""))</f>
        <v>◄</v>
      </c>
      <c r="HM17" s="46" t="n">
        <v>0.2</v>
      </c>
      <c r="HN17" s="47" t="n">
        <f aca="false">(IF(HJ17&lt;&gt;"",1/2,0)+IF(HK17&lt;&gt;"",1,0))*HM17*HM$11*20</f>
        <v>0</v>
      </c>
      <c r="HO17" s="48" t="str">
        <f aca="false">IF(COUNTBLANK(HH17:HK17)=3,1,"")</f>
        <v/>
      </c>
      <c r="HP17" s="49" t="n">
        <f aca="false">IF(HH17="",HM17,0)</f>
        <v>0.2</v>
      </c>
      <c r="HQ17" s="50" t="n">
        <f aca="false">IF(HP17=0,0,HM17/SUM(HP$12:HP$19))</f>
        <v>0.222222222222222</v>
      </c>
      <c r="HR17" s="62"/>
      <c r="HS17" s="62"/>
      <c r="HT17" s="62"/>
      <c r="HU17" s="44"/>
      <c r="HV17" s="45" t="str">
        <f aca="false">(IF(HY17="","◄",""))</f>
        <v>◄</v>
      </c>
      <c r="HW17" s="46" t="n">
        <v>0.2</v>
      </c>
      <c r="HX17" s="47" t="n">
        <f aca="false">(IF(HT17&lt;&gt;"",1/2,0)+IF(HU17&lt;&gt;"",1,0))*HW17*HW$11*20</f>
        <v>0</v>
      </c>
      <c r="HY17" s="48" t="str">
        <f aca="false">IF(COUNTBLANK(HR17:HU17)=3,1,"")</f>
        <v/>
      </c>
      <c r="HZ17" s="49" t="n">
        <f aca="false">IF(HR17="",HW17,0)</f>
        <v>0.2</v>
      </c>
      <c r="IA17" s="50" t="n">
        <f aca="false">IF(HZ17=0,0,HW17/SUM(HZ$12:HZ$19))</f>
        <v>0.222222222222222</v>
      </c>
      <c r="IB17" s="62"/>
      <c r="IC17" s="62"/>
      <c r="ID17" s="62"/>
      <c r="IE17" s="44"/>
      <c r="IF17" s="45" t="str">
        <f aca="false">(IF(II17="","◄",""))</f>
        <v>◄</v>
      </c>
      <c r="IG17" s="46" t="n">
        <v>0.2</v>
      </c>
      <c r="IH17" s="47" t="n">
        <f aca="false">(IF(ID17&lt;&gt;"",1/2,0)+IF(IE17&lt;&gt;"",1,0))*IG17*IG$11*20</f>
        <v>0</v>
      </c>
      <c r="II17" s="48" t="str">
        <f aca="false">IF(COUNTBLANK(IB17:IE17)=3,1,"")</f>
        <v/>
      </c>
      <c r="IJ17" s="49" t="n">
        <f aca="false">IF(IB17="",IG17,0)</f>
        <v>0.2</v>
      </c>
      <c r="IK17" s="50" t="n">
        <f aca="false">IF(IJ17=0,0,IG17/SUM(IJ$12:IJ$19))</f>
        <v>0.222222222222222</v>
      </c>
    </row>
    <row r="18" customFormat="false" ht="49.5" hidden="false" customHeight="true" outlineLevel="0" collapsed="false">
      <c r="A18" s="39" t="n">
        <v>15</v>
      </c>
      <c r="B18" s="40" t="s">
        <v>48</v>
      </c>
      <c r="C18" s="63" t="n">
        <f aca="false">$ER$43</f>
        <v>0</v>
      </c>
      <c r="D18" s="64"/>
      <c r="E18" s="65" t="s">
        <v>49</v>
      </c>
      <c r="F18" s="62"/>
      <c r="G18" s="62"/>
      <c r="H18" s="62"/>
      <c r="I18" s="44"/>
      <c r="J18" s="45" t="str">
        <f aca="false">(IF(M18="","◄",""))</f>
        <v>◄</v>
      </c>
      <c r="K18" s="46" t="n">
        <v>0.1</v>
      </c>
      <c r="L18" s="47" t="n">
        <f aca="false">(IF(H18&lt;&gt;"",1/2,0)+IF(I18&lt;&gt;"",1,0))*K18*K$11*20</f>
        <v>0</v>
      </c>
      <c r="M18" s="48" t="str">
        <f aca="false">IF(COUNTBLANK(F18:I18)=3,1,"")</f>
        <v/>
      </c>
      <c r="N18" s="49" t="n">
        <f aca="false">IF(F18="",K18,0)</f>
        <v>0.1</v>
      </c>
      <c r="O18" s="50" t="n">
        <f aca="false">IF(N18=0,0,K18/SUM(N$12:N$19))</f>
        <v>0.111111111111111</v>
      </c>
      <c r="P18" s="62"/>
      <c r="Q18" s="62"/>
      <c r="R18" s="62"/>
      <c r="S18" s="44"/>
      <c r="T18" s="45" t="str">
        <f aca="false">(IF(W18="","◄",""))</f>
        <v>◄</v>
      </c>
      <c r="U18" s="46" t="n">
        <v>0.1</v>
      </c>
      <c r="V18" s="47" t="n">
        <f aca="false">(IF(R18&lt;&gt;"",1/2,0)+IF(S18&lt;&gt;"",1,0))*U18*U$11*20</f>
        <v>0</v>
      </c>
      <c r="W18" s="48" t="str">
        <f aca="false">IF(COUNTBLANK(P18:S18)=3,1,"")</f>
        <v/>
      </c>
      <c r="X18" s="49" t="n">
        <f aca="false">IF(P18="",U18,0)</f>
        <v>0.1</v>
      </c>
      <c r="Y18" s="50" t="n">
        <f aca="false">IF(X18=0,0,U18/SUM(X$12:X$19))</f>
        <v>0.111111111111111</v>
      </c>
      <c r="Z18" s="62"/>
      <c r="AA18" s="62"/>
      <c r="AB18" s="62"/>
      <c r="AC18" s="44"/>
      <c r="AD18" s="45" t="str">
        <f aca="false">(IF(AG18="","◄",""))</f>
        <v>◄</v>
      </c>
      <c r="AE18" s="46" t="n">
        <v>0.1</v>
      </c>
      <c r="AF18" s="47" t="n">
        <f aca="false">(IF(AB18&lt;&gt;"",1/2,0)+IF(AC18&lt;&gt;"",1,0))*AE18*AE$11*20</f>
        <v>0</v>
      </c>
      <c r="AG18" s="48" t="str">
        <f aca="false">IF(COUNTBLANK(Z18:AC18)=3,1,"")</f>
        <v/>
      </c>
      <c r="AH18" s="49" t="n">
        <f aca="false">IF(Z18="",AE18,0)</f>
        <v>0.1</v>
      </c>
      <c r="AI18" s="50" t="n">
        <f aca="false">IF(AH18=0,0,AE18/SUM(AH$12:AH$19))</f>
        <v>0.111111111111111</v>
      </c>
      <c r="AJ18" s="62"/>
      <c r="AK18" s="62"/>
      <c r="AL18" s="62"/>
      <c r="AM18" s="44"/>
      <c r="AN18" s="45" t="str">
        <f aca="false">(IF(AQ18="","◄",""))</f>
        <v>◄</v>
      </c>
      <c r="AO18" s="46" t="n">
        <v>0.1</v>
      </c>
      <c r="AP18" s="47" t="n">
        <f aca="false">(IF(AL18&lt;&gt;"",1/2,0)+IF(AM18&lt;&gt;"",1,0))*AO18*AO$11*20</f>
        <v>0</v>
      </c>
      <c r="AQ18" s="48" t="str">
        <f aca="false">IF(COUNTBLANK(AJ18:AM18)=3,1,"")</f>
        <v/>
      </c>
      <c r="AR18" s="49" t="n">
        <f aca="false">IF(AJ18="",AO18,0)</f>
        <v>0.1</v>
      </c>
      <c r="AS18" s="50" t="n">
        <f aca="false">IF(AR18=0,0,AO18/SUM(AR$12:AR$19))</f>
        <v>0.111111111111111</v>
      </c>
      <c r="AT18" s="62"/>
      <c r="AU18" s="62"/>
      <c r="AV18" s="62"/>
      <c r="AW18" s="44"/>
      <c r="AX18" s="45" t="str">
        <f aca="false">(IF(BA18="","◄",""))</f>
        <v>◄</v>
      </c>
      <c r="AY18" s="46" t="n">
        <v>0.1</v>
      </c>
      <c r="AZ18" s="47" t="n">
        <f aca="false">(IF(AV18&lt;&gt;"",1/2,0)+IF(AW18&lt;&gt;"",1,0))*AY18*AY$11*20</f>
        <v>0</v>
      </c>
      <c r="BA18" s="48" t="str">
        <f aca="false">IF(COUNTBLANK(AT18:AW18)=3,1,"")</f>
        <v/>
      </c>
      <c r="BB18" s="49" t="n">
        <f aca="false">IF(AT18="",AY18,0)</f>
        <v>0.1</v>
      </c>
      <c r="BC18" s="50" t="n">
        <f aca="false">IF(BB18=0,0,AY18/SUM(BB$12:BB$19))</f>
        <v>0.111111111111111</v>
      </c>
      <c r="BD18" s="62"/>
      <c r="BE18" s="62"/>
      <c r="BF18" s="62"/>
      <c r="BG18" s="44"/>
      <c r="BH18" s="45" t="str">
        <f aca="false">(IF(BK18="","◄",""))</f>
        <v>◄</v>
      </c>
      <c r="BI18" s="46" t="n">
        <v>0.1</v>
      </c>
      <c r="BJ18" s="47" t="n">
        <f aca="false">(IF(BF18&lt;&gt;"",1/2,0)+IF(BG18&lt;&gt;"",1,0))*BI18*BI$11*20</f>
        <v>0</v>
      </c>
      <c r="BK18" s="48" t="str">
        <f aca="false">IF(COUNTBLANK(BD18:BG18)=3,1,"")</f>
        <v/>
      </c>
      <c r="BL18" s="49" t="n">
        <f aca="false">IF(BD18="",BI18,0)</f>
        <v>0.1</v>
      </c>
      <c r="BM18" s="50" t="n">
        <f aca="false">IF(BL18=0,0,BI18/SUM(BL$12:BL$19))</f>
        <v>0.111111111111111</v>
      </c>
      <c r="BN18" s="62"/>
      <c r="BO18" s="62"/>
      <c r="BP18" s="62"/>
      <c r="BQ18" s="44"/>
      <c r="BR18" s="45" t="str">
        <f aca="false">(IF(BU18="","◄",""))</f>
        <v>◄</v>
      </c>
      <c r="BS18" s="46" t="n">
        <v>0.1</v>
      </c>
      <c r="BT18" s="47" t="n">
        <f aca="false">(IF(BP18&lt;&gt;"",1/2,0)+IF(BQ18&lt;&gt;"",1,0))*BS18*BS$11*20</f>
        <v>0</v>
      </c>
      <c r="BU18" s="48" t="str">
        <f aca="false">IF(COUNTBLANK(BN18:BQ18)=3,1,"")</f>
        <v/>
      </c>
      <c r="BV18" s="49" t="n">
        <f aca="false">IF(BN18="",BS18,0)</f>
        <v>0.1</v>
      </c>
      <c r="BW18" s="50" t="n">
        <f aca="false">IF(BV18=0,0,BS18/SUM(BV$12:BV$19))</f>
        <v>0.111111111111111</v>
      </c>
      <c r="BX18" s="62"/>
      <c r="BY18" s="62"/>
      <c r="BZ18" s="62"/>
      <c r="CA18" s="44"/>
      <c r="CB18" s="45" t="str">
        <f aca="false">(IF(CE18="","◄",""))</f>
        <v>◄</v>
      </c>
      <c r="CC18" s="46" t="n">
        <v>0.1</v>
      </c>
      <c r="CD18" s="47" t="n">
        <f aca="false">(IF(BZ18&lt;&gt;"",1/2,0)+IF(CA18&lt;&gt;"",1,0))*CC18*CC$11*20</f>
        <v>0</v>
      </c>
      <c r="CE18" s="48" t="str">
        <f aca="false">IF(COUNTBLANK(BX18:CA18)=3,1,"")</f>
        <v/>
      </c>
      <c r="CF18" s="49" t="n">
        <f aca="false">IF(BX18="",CC18,0)</f>
        <v>0.1</v>
      </c>
      <c r="CG18" s="50" t="n">
        <f aca="false">IF(CF18=0,0,CC18/SUM(CF$12:CF$19))</f>
        <v>0.111111111111111</v>
      </c>
      <c r="CH18" s="62"/>
      <c r="CI18" s="62"/>
      <c r="CJ18" s="62"/>
      <c r="CK18" s="44"/>
      <c r="CL18" s="45" t="str">
        <f aca="false">(IF(CO18="","◄",""))</f>
        <v>◄</v>
      </c>
      <c r="CM18" s="46" t="n">
        <v>0.1</v>
      </c>
      <c r="CN18" s="47" t="n">
        <f aca="false">(IF(CJ18&lt;&gt;"",1/2,0)+IF(CK18&lt;&gt;"",1,0))*CM18*CM$11*20</f>
        <v>0</v>
      </c>
      <c r="CO18" s="48" t="str">
        <f aca="false">IF(COUNTBLANK(CH18:CK18)=3,1,"")</f>
        <v/>
      </c>
      <c r="CP18" s="49" t="n">
        <f aca="false">IF(CH18="",CM18,0)</f>
        <v>0.1</v>
      </c>
      <c r="CQ18" s="50" t="n">
        <f aca="false">IF(CP18=0,0,CM18/SUM(CP$12:CP$19))</f>
        <v>0.111111111111111</v>
      </c>
      <c r="CR18" s="62"/>
      <c r="CS18" s="62"/>
      <c r="CT18" s="62"/>
      <c r="CU18" s="44"/>
      <c r="CV18" s="45" t="str">
        <f aca="false">(IF(CY18="","◄",""))</f>
        <v>◄</v>
      </c>
      <c r="CW18" s="46" t="n">
        <v>0.1</v>
      </c>
      <c r="CX18" s="47" t="n">
        <f aca="false">(IF(CT18&lt;&gt;"",1/2,0)+IF(CU18&lt;&gt;"",1,0))*CW18*CW$11*20</f>
        <v>0</v>
      </c>
      <c r="CY18" s="48" t="str">
        <f aca="false">IF(COUNTBLANK(CR18:CU18)=3,1,"")</f>
        <v/>
      </c>
      <c r="CZ18" s="49" t="n">
        <f aca="false">IF(CR18="",CW18,0)</f>
        <v>0.1</v>
      </c>
      <c r="DA18" s="50" t="n">
        <f aca="false">IF(CZ18=0,0,CW18/SUM(CZ$12:CZ$19))</f>
        <v>0.111111111111111</v>
      </c>
      <c r="DB18" s="62"/>
      <c r="DC18" s="62"/>
      <c r="DD18" s="62"/>
      <c r="DE18" s="44"/>
      <c r="DF18" s="45" t="str">
        <f aca="false">(IF(DI18="","◄",""))</f>
        <v>◄</v>
      </c>
      <c r="DG18" s="46" t="n">
        <v>0.1</v>
      </c>
      <c r="DH18" s="47" t="n">
        <f aca="false">(IF(DD18&lt;&gt;"",1/2,0)+IF(DE18&lt;&gt;"",1,0))*DG18*DG$11*20</f>
        <v>0</v>
      </c>
      <c r="DI18" s="48" t="str">
        <f aca="false">IF(COUNTBLANK(DB18:DE18)=3,1,"")</f>
        <v/>
      </c>
      <c r="DJ18" s="49" t="n">
        <f aca="false">IF(DB18="",DG18,0)</f>
        <v>0.1</v>
      </c>
      <c r="DK18" s="50" t="n">
        <f aca="false">IF(DJ18=0,0,DG18/SUM(DJ$12:DJ$19))</f>
        <v>0.111111111111111</v>
      </c>
      <c r="DL18" s="62"/>
      <c r="DM18" s="62"/>
      <c r="DN18" s="62"/>
      <c r="DO18" s="44"/>
      <c r="DP18" s="45" t="str">
        <f aca="false">(IF(DS18="","◄",""))</f>
        <v>◄</v>
      </c>
      <c r="DQ18" s="46" t="n">
        <v>0.1</v>
      </c>
      <c r="DR18" s="47" t="n">
        <f aca="false">(IF(DN18&lt;&gt;"",1/2,0)+IF(DO18&lt;&gt;"",1,0))*DQ18*DQ$11*20</f>
        <v>0</v>
      </c>
      <c r="DS18" s="48" t="str">
        <f aca="false">IF(COUNTBLANK(DL18:DO18)=3,1,"")</f>
        <v/>
      </c>
      <c r="DT18" s="49" t="n">
        <f aca="false">IF(DL18="",DQ18,0)</f>
        <v>0.1</v>
      </c>
      <c r="DU18" s="50" t="n">
        <f aca="false">IF(DT18=0,0,DQ18/SUM(DT$12:DT$19))</f>
        <v>0.111111111111111</v>
      </c>
      <c r="DV18" s="62"/>
      <c r="DW18" s="62"/>
      <c r="DX18" s="62"/>
      <c r="DY18" s="44"/>
      <c r="DZ18" s="45" t="str">
        <f aca="false">(IF(EC18="","◄",""))</f>
        <v>◄</v>
      </c>
      <c r="EA18" s="46" t="n">
        <v>0.1</v>
      </c>
      <c r="EB18" s="47" t="n">
        <f aca="false">(IF(DX18&lt;&gt;"",1/2,0)+IF(DY18&lt;&gt;"",1,0))*EA18*EA$11*20</f>
        <v>0</v>
      </c>
      <c r="EC18" s="48" t="str">
        <f aca="false">IF(COUNTBLANK(DV18:DY18)=3,1,"")</f>
        <v/>
      </c>
      <c r="ED18" s="49" t="n">
        <f aca="false">IF(DV18="",EA18,0)</f>
        <v>0.1</v>
      </c>
      <c r="EE18" s="50" t="n">
        <f aca="false">IF(ED18=0,0,EA18/SUM(ED$12:ED$19))</f>
        <v>0.111111111111111</v>
      </c>
      <c r="EF18" s="62"/>
      <c r="EG18" s="62"/>
      <c r="EH18" s="62"/>
      <c r="EI18" s="44"/>
      <c r="EJ18" s="45" t="str">
        <f aca="false">(IF(EM18="","◄",""))</f>
        <v>◄</v>
      </c>
      <c r="EK18" s="46" t="n">
        <v>0.1</v>
      </c>
      <c r="EL18" s="47" t="n">
        <f aca="false">(IF(EH18&lt;&gt;"",1/2,0)+IF(EI18&lt;&gt;"",1,0))*EK18*EK$11*20</f>
        <v>0</v>
      </c>
      <c r="EM18" s="48" t="str">
        <f aca="false">IF(COUNTBLANK(EF18:EI18)=3,1,"")</f>
        <v/>
      </c>
      <c r="EN18" s="49" t="n">
        <f aca="false">IF(EF18="",EK18,0)</f>
        <v>0.1</v>
      </c>
      <c r="EO18" s="50" t="n">
        <f aca="false">IF(EN18=0,0,EK18/SUM(EN$12:EN$19))</f>
        <v>0.111111111111111</v>
      </c>
      <c r="EP18" s="62"/>
      <c r="EQ18" s="62"/>
      <c r="ER18" s="62"/>
      <c r="ES18" s="44"/>
      <c r="ET18" s="45" t="str">
        <f aca="false">(IF(EW18="","◄",""))</f>
        <v>◄</v>
      </c>
      <c r="EU18" s="46" t="n">
        <v>0.1</v>
      </c>
      <c r="EV18" s="47" t="n">
        <f aca="false">(IF(ER18&lt;&gt;"",1/2,0)+IF(ES18&lt;&gt;"",1,0))*EU18*EU$11*20</f>
        <v>0</v>
      </c>
      <c r="EW18" s="48" t="str">
        <f aca="false">IF(COUNTBLANK(EP18:ES18)=3,1,"")</f>
        <v/>
      </c>
      <c r="EX18" s="49" t="n">
        <f aca="false">IF(EP18="",EU18,0)</f>
        <v>0.1</v>
      </c>
      <c r="EY18" s="50" t="n">
        <f aca="false">IF(EX18=0,0,EU18/SUM(EX$12:EX$19))</f>
        <v>0.111111111111111</v>
      </c>
      <c r="EZ18" s="62"/>
      <c r="FA18" s="62"/>
      <c r="FB18" s="62"/>
      <c r="FC18" s="44"/>
      <c r="FD18" s="45" t="str">
        <f aca="false">(IF(FG18="","◄",""))</f>
        <v>◄</v>
      </c>
      <c r="FE18" s="46" t="n">
        <v>0.1</v>
      </c>
      <c r="FF18" s="47" t="n">
        <f aca="false">(IF(FB18&lt;&gt;"",1/2,0)+IF(FC18&lt;&gt;"",1,0))*FE18*FE$11*20</f>
        <v>0</v>
      </c>
      <c r="FG18" s="48" t="str">
        <f aca="false">IF(COUNTBLANK(EZ18:FC18)=3,1,"")</f>
        <v/>
      </c>
      <c r="FH18" s="49" t="n">
        <f aca="false">IF(EZ18="",FE18,0)</f>
        <v>0.1</v>
      </c>
      <c r="FI18" s="50" t="n">
        <f aca="false">IF(FH18=0,0,FE18/SUM(FH$12:FH$19))</f>
        <v>0.111111111111111</v>
      </c>
      <c r="FJ18" s="62"/>
      <c r="FK18" s="62"/>
      <c r="FL18" s="62"/>
      <c r="FM18" s="44"/>
      <c r="FN18" s="45" t="str">
        <f aca="false">(IF(FQ18="","◄",""))</f>
        <v>◄</v>
      </c>
      <c r="FO18" s="46" t="n">
        <v>0.1</v>
      </c>
      <c r="FP18" s="47" t="n">
        <f aca="false">(IF(FL18&lt;&gt;"",1/2,0)+IF(FM18&lt;&gt;"",1,0))*FO18*FO$11*20</f>
        <v>0</v>
      </c>
      <c r="FQ18" s="48" t="str">
        <f aca="false">IF(COUNTBLANK(FJ18:FM18)=3,1,"")</f>
        <v/>
      </c>
      <c r="FR18" s="49" t="n">
        <f aca="false">IF(FJ18="",FO18,0)</f>
        <v>0.1</v>
      </c>
      <c r="FS18" s="50" t="n">
        <f aca="false">IF(FR18=0,0,FO18/SUM(FR$12:FR$19))</f>
        <v>0.111111111111111</v>
      </c>
      <c r="FT18" s="62"/>
      <c r="FU18" s="62"/>
      <c r="FV18" s="62"/>
      <c r="FW18" s="44"/>
      <c r="FX18" s="45" t="str">
        <f aca="false">(IF(GA18="","◄",""))</f>
        <v>◄</v>
      </c>
      <c r="FY18" s="46" t="n">
        <v>0.1</v>
      </c>
      <c r="FZ18" s="47" t="n">
        <f aca="false">(IF(FV18&lt;&gt;"",1/2,0)+IF(FW18&lt;&gt;"",1,0))*FY18*FY$11*20</f>
        <v>0</v>
      </c>
      <c r="GA18" s="48" t="str">
        <f aca="false">IF(COUNTBLANK(FT18:FW18)=3,1,"")</f>
        <v/>
      </c>
      <c r="GB18" s="49" t="n">
        <f aca="false">IF(FT18="",FY18,0)</f>
        <v>0.1</v>
      </c>
      <c r="GC18" s="50" t="n">
        <f aca="false">IF(GB18=0,0,FY18/SUM(GB$12:GB$19))</f>
        <v>0.111111111111111</v>
      </c>
      <c r="GD18" s="62"/>
      <c r="GE18" s="62"/>
      <c r="GF18" s="62"/>
      <c r="GG18" s="44"/>
      <c r="GH18" s="45" t="str">
        <f aca="false">(IF(GK18="","◄",""))</f>
        <v>◄</v>
      </c>
      <c r="GI18" s="46" t="n">
        <v>0.1</v>
      </c>
      <c r="GJ18" s="47" t="n">
        <f aca="false">(IF(GF18&lt;&gt;"",1/2,0)+IF(GG18&lt;&gt;"",1,0))*GI18*GI$11*20</f>
        <v>0</v>
      </c>
      <c r="GK18" s="48" t="str">
        <f aca="false">IF(COUNTBLANK(GD18:GG18)=3,1,"")</f>
        <v/>
      </c>
      <c r="GL18" s="49" t="n">
        <f aca="false">IF(GD18="",GI18,0)</f>
        <v>0.1</v>
      </c>
      <c r="GM18" s="50" t="n">
        <f aca="false">IF(GL18=0,0,GI18/SUM(GL$12:GL$19))</f>
        <v>0.111111111111111</v>
      </c>
      <c r="GN18" s="62"/>
      <c r="GO18" s="62"/>
      <c r="GP18" s="62"/>
      <c r="GQ18" s="44"/>
      <c r="GR18" s="45" t="str">
        <f aca="false">(IF(GU18="","◄",""))</f>
        <v>◄</v>
      </c>
      <c r="GS18" s="46" t="n">
        <v>0.1</v>
      </c>
      <c r="GT18" s="47" t="n">
        <f aca="false">(IF(GP18&lt;&gt;"",1/2,0)+IF(GQ18&lt;&gt;"",1,0))*GS18*GS$11*20</f>
        <v>0</v>
      </c>
      <c r="GU18" s="48" t="str">
        <f aca="false">IF(COUNTBLANK(GN18:GQ18)=3,1,"")</f>
        <v/>
      </c>
      <c r="GV18" s="49" t="n">
        <f aca="false">IF(GN18="",GS18,0)</f>
        <v>0.1</v>
      </c>
      <c r="GW18" s="50" t="n">
        <f aca="false">IF(GV18=0,0,GS18/SUM(GV$12:GV$19))</f>
        <v>0.111111111111111</v>
      </c>
      <c r="GX18" s="62"/>
      <c r="GY18" s="62"/>
      <c r="GZ18" s="62"/>
      <c r="HA18" s="44"/>
      <c r="HB18" s="45" t="str">
        <f aca="false">(IF(HE18="","◄",""))</f>
        <v>◄</v>
      </c>
      <c r="HC18" s="46" t="n">
        <v>0.1</v>
      </c>
      <c r="HD18" s="47" t="n">
        <f aca="false">(IF(GZ18&lt;&gt;"",1/2,0)+IF(HA18&lt;&gt;"",1,0))*HC18*HC$11*20</f>
        <v>0</v>
      </c>
      <c r="HE18" s="48" t="str">
        <f aca="false">IF(COUNTBLANK(GX18:HA18)=3,1,"")</f>
        <v/>
      </c>
      <c r="HF18" s="49" t="n">
        <f aca="false">IF(GX18="",HC18,0)</f>
        <v>0.1</v>
      </c>
      <c r="HG18" s="50" t="n">
        <f aca="false">IF(HF18=0,0,HC18/SUM(HF$12:HF$19))</f>
        <v>0.111111111111111</v>
      </c>
      <c r="HH18" s="62"/>
      <c r="HI18" s="62"/>
      <c r="HJ18" s="62"/>
      <c r="HK18" s="44"/>
      <c r="HL18" s="45" t="str">
        <f aca="false">(IF(HO18="","◄",""))</f>
        <v>◄</v>
      </c>
      <c r="HM18" s="46" t="n">
        <v>0.1</v>
      </c>
      <c r="HN18" s="47" t="n">
        <f aca="false">(IF(HJ18&lt;&gt;"",1/2,0)+IF(HK18&lt;&gt;"",1,0))*HM18*HM$11*20</f>
        <v>0</v>
      </c>
      <c r="HO18" s="48" t="str">
        <f aca="false">IF(COUNTBLANK(HH18:HK18)=3,1,"")</f>
        <v/>
      </c>
      <c r="HP18" s="49" t="n">
        <f aca="false">IF(HH18="",HM18,0)</f>
        <v>0.1</v>
      </c>
      <c r="HQ18" s="50" t="n">
        <f aca="false">IF(HP18=0,0,HM18/SUM(HP$12:HP$19))</f>
        <v>0.111111111111111</v>
      </c>
      <c r="HR18" s="62"/>
      <c r="HS18" s="62"/>
      <c r="HT18" s="62"/>
      <c r="HU18" s="44"/>
      <c r="HV18" s="45" t="str">
        <f aca="false">(IF(HY18="","◄",""))</f>
        <v>◄</v>
      </c>
      <c r="HW18" s="46" t="n">
        <v>0.1</v>
      </c>
      <c r="HX18" s="47" t="n">
        <f aca="false">(IF(HT18&lt;&gt;"",1/2,0)+IF(HU18&lt;&gt;"",1,0))*HW18*HW$11*20</f>
        <v>0</v>
      </c>
      <c r="HY18" s="48" t="str">
        <f aca="false">IF(COUNTBLANK(HR18:HU18)=3,1,"")</f>
        <v/>
      </c>
      <c r="HZ18" s="49" t="n">
        <f aca="false">IF(HR18="",HW18,0)</f>
        <v>0.1</v>
      </c>
      <c r="IA18" s="50" t="n">
        <f aca="false">IF(HZ18=0,0,HW18/SUM(HZ$12:HZ$19))</f>
        <v>0.111111111111111</v>
      </c>
      <c r="IB18" s="62"/>
      <c r="IC18" s="62"/>
      <c r="ID18" s="62"/>
      <c r="IE18" s="44"/>
      <c r="IF18" s="45" t="str">
        <f aca="false">(IF(II18="","◄",""))</f>
        <v>◄</v>
      </c>
      <c r="IG18" s="46" t="n">
        <v>0.1</v>
      </c>
      <c r="IH18" s="47" t="n">
        <f aca="false">(IF(ID18&lt;&gt;"",1/2,0)+IF(IE18&lt;&gt;"",1,0))*IG18*IG$11*20</f>
        <v>0</v>
      </c>
      <c r="II18" s="48" t="str">
        <f aca="false">IF(COUNTBLANK(IB18:IE18)=3,1,"")</f>
        <v/>
      </c>
      <c r="IJ18" s="49" t="n">
        <f aca="false">IF(IB18="",IG18,0)</f>
        <v>0.1</v>
      </c>
      <c r="IK18" s="50" t="n">
        <f aca="false">IF(IJ18=0,0,IG18/SUM(IJ$12:IJ$19))</f>
        <v>0.111111111111111</v>
      </c>
    </row>
    <row r="19" customFormat="false" ht="65.25" hidden="false" customHeight="true" outlineLevel="0" collapsed="false">
      <c r="A19" s="39" t="n">
        <v>16</v>
      </c>
      <c r="B19" s="40" t="s">
        <v>50</v>
      </c>
      <c r="C19" s="63" t="n">
        <f aca="false">$FB$43</f>
        <v>0</v>
      </c>
      <c r="D19" s="64"/>
      <c r="E19" s="61" t="s">
        <v>51</v>
      </c>
      <c r="F19" s="62"/>
      <c r="G19" s="62"/>
      <c r="H19" s="62"/>
      <c r="I19" s="44"/>
      <c r="J19" s="45" t="str">
        <f aca="false">(IF(M19="","◄",""))</f>
        <v>◄</v>
      </c>
      <c r="K19" s="46" t="n">
        <v>0.2</v>
      </c>
      <c r="L19" s="47" t="n">
        <f aca="false">(IF(H19&lt;&gt;"",1/2,0)+IF(I19&lt;&gt;"",1,0))*K19*K$11*20</f>
        <v>0</v>
      </c>
      <c r="M19" s="48" t="str">
        <f aca="false">IF(COUNTBLANK(F19:I19)=3,1,"")</f>
        <v/>
      </c>
      <c r="N19" s="49" t="n">
        <f aca="false">IF(F19="",K19,0)</f>
        <v>0.1</v>
      </c>
      <c r="O19" s="50" t="n">
        <f aca="false">IF(N19=0,0,K19/SUM(N$12:N$19))</f>
        <v>0.111111111111111</v>
      </c>
      <c r="P19" s="62"/>
      <c r="Q19" s="62"/>
      <c r="R19" s="62"/>
      <c r="S19" s="44"/>
      <c r="T19" s="45" t="str">
        <f aca="false">(IF(W19="","◄",""))</f>
        <v>◄</v>
      </c>
      <c r="U19" s="46" t="n">
        <v>0.1</v>
      </c>
      <c r="V19" s="47" t="n">
        <f aca="false">(IF(R19&lt;&gt;"",1/2,0)+IF(S19&lt;&gt;"",1,0))*U19*U$11*20</f>
        <v>0</v>
      </c>
      <c r="W19" s="48" t="str">
        <f aca="false">IF(COUNTBLANK(P19:S19)=3,1,"")</f>
        <v/>
      </c>
      <c r="X19" s="49" t="n">
        <f aca="false">IF(P19="",U19,0)</f>
        <v>0.1</v>
      </c>
      <c r="Y19" s="50" t="n">
        <f aca="false">IF(X19=0,0,U19/SUM(X$12:X$19))</f>
        <v>0.111111111111111</v>
      </c>
      <c r="Z19" s="62"/>
      <c r="AA19" s="62"/>
      <c r="AB19" s="62"/>
      <c r="AC19" s="44"/>
      <c r="AD19" s="45" t="str">
        <f aca="false">(IF(AG19="","◄",""))</f>
        <v>◄</v>
      </c>
      <c r="AE19" s="46" t="n">
        <v>0.1</v>
      </c>
      <c r="AF19" s="47" t="n">
        <f aca="false">(IF(AB19&lt;&gt;"",1/2,0)+IF(AC19&lt;&gt;"",1,0))*AE19*AE$11*20</f>
        <v>0</v>
      </c>
      <c r="AG19" s="48" t="str">
        <f aca="false">IF(COUNTBLANK(Z19:AC19)=3,1,"")</f>
        <v/>
      </c>
      <c r="AH19" s="49" t="n">
        <f aca="false">IF(Z19="",AE19,0)</f>
        <v>0.1</v>
      </c>
      <c r="AI19" s="50" t="n">
        <f aca="false">IF(AH19=0,0,AE19/SUM(AH$12:AH$19))</f>
        <v>0.111111111111111</v>
      </c>
      <c r="AJ19" s="62"/>
      <c r="AK19" s="62"/>
      <c r="AL19" s="62"/>
      <c r="AM19" s="44"/>
      <c r="AN19" s="45" t="str">
        <f aca="false">(IF(AQ19="","◄",""))</f>
        <v>◄</v>
      </c>
      <c r="AO19" s="46" t="n">
        <v>0.1</v>
      </c>
      <c r="AP19" s="47" t="n">
        <f aca="false">(IF(AL19&lt;&gt;"",1/2,0)+IF(AM19&lt;&gt;"",1,0))*AO19*AO$11*20</f>
        <v>0</v>
      </c>
      <c r="AQ19" s="48" t="str">
        <f aca="false">IF(COUNTBLANK(AJ19:AM19)=3,1,"")</f>
        <v/>
      </c>
      <c r="AR19" s="49" t="n">
        <f aca="false">IF(AJ19="",AO19,0)</f>
        <v>0.1</v>
      </c>
      <c r="AS19" s="50" t="n">
        <f aca="false">IF(AR19=0,0,AO19/SUM(AR$12:AR$19))</f>
        <v>0.111111111111111</v>
      </c>
      <c r="AT19" s="62"/>
      <c r="AU19" s="62"/>
      <c r="AV19" s="62"/>
      <c r="AW19" s="44"/>
      <c r="AX19" s="45" t="str">
        <f aca="false">(IF(BA19="","◄",""))</f>
        <v>◄</v>
      </c>
      <c r="AY19" s="46" t="n">
        <v>0.1</v>
      </c>
      <c r="AZ19" s="47" t="n">
        <f aca="false">(IF(AV19&lt;&gt;"",1/2,0)+IF(AW19&lt;&gt;"",1,0))*AY19*AY$11*20</f>
        <v>0</v>
      </c>
      <c r="BA19" s="48" t="str">
        <f aca="false">IF(COUNTBLANK(AT19:AW19)=3,1,"")</f>
        <v/>
      </c>
      <c r="BB19" s="49" t="n">
        <f aca="false">IF(AT19="",AY19,0)</f>
        <v>0.1</v>
      </c>
      <c r="BC19" s="50" t="n">
        <f aca="false">IF(BB19=0,0,AY19/SUM(BB$12:BB$19))</f>
        <v>0.111111111111111</v>
      </c>
      <c r="BD19" s="62"/>
      <c r="BE19" s="62"/>
      <c r="BF19" s="62"/>
      <c r="BG19" s="44"/>
      <c r="BH19" s="45" t="str">
        <f aca="false">(IF(BK19="","◄",""))</f>
        <v>◄</v>
      </c>
      <c r="BI19" s="46" t="n">
        <v>0.1</v>
      </c>
      <c r="BJ19" s="47" t="n">
        <f aca="false">(IF(BF19&lt;&gt;"",1/2,0)+IF(BG19&lt;&gt;"",1,0))*BI19*BI$11*20</f>
        <v>0</v>
      </c>
      <c r="BK19" s="48" t="str">
        <f aca="false">IF(COUNTBLANK(BD19:BG19)=3,1,"")</f>
        <v/>
      </c>
      <c r="BL19" s="49" t="n">
        <f aca="false">IF(BD19="",BI19,0)</f>
        <v>0.1</v>
      </c>
      <c r="BM19" s="50" t="n">
        <f aca="false">IF(BL19=0,0,BI19/SUM(BL$12:BL$19))</f>
        <v>0.111111111111111</v>
      </c>
      <c r="BN19" s="62"/>
      <c r="BO19" s="62"/>
      <c r="BP19" s="62"/>
      <c r="BQ19" s="44"/>
      <c r="BR19" s="45" t="str">
        <f aca="false">(IF(BU19="","◄",""))</f>
        <v>◄</v>
      </c>
      <c r="BS19" s="46" t="n">
        <v>0.1</v>
      </c>
      <c r="BT19" s="47" t="n">
        <f aca="false">(IF(BP19&lt;&gt;"",1/2,0)+IF(BQ19&lt;&gt;"",1,0))*BS19*BS$11*20</f>
        <v>0</v>
      </c>
      <c r="BU19" s="48" t="str">
        <f aca="false">IF(COUNTBLANK(BN19:BQ19)=3,1,"")</f>
        <v/>
      </c>
      <c r="BV19" s="49" t="n">
        <f aca="false">IF(BN19="",BS19,0)</f>
        <v>0.1</v>
      </c>
      <c r="BW19" s="50" t="n">
        <f aca="false">IF(BV19=0,0,BS19/SUM(BV$12:BV$19))</f>
        <v>0.111111111111111</v>
      </c>
      <c r="BX19" s="62"/>
      <c r="BY19" s="62"/>
      <c r="BZ19" s="62"/>
      <c r="CA19" s="44"/>
      <c r="CB19" s="45" t="str">
        <f aca="false">(IF(CE19="","◄",""))</f>
        <v>◄</v>
      </c>
      <c r="CC19" s="46" t="n">
        <v>0.1</v>
      </c>
      <c r="CD19" s="47" t="n">
        <f aca="false">(IF(BZ19&lt;&gt;"",1/2,0)+IF(CA19&lt;&gt;"",1,0))*CC19*CC$11*20</f>
        <v>0</v>
      </c>
      <c r="CE19" s="48" t="str">
        <f aca="false">IF(COUNTBLANK(BX19:CA19)=3,1,"")</f>
        <v/>
      </c>
      <c r="CF19" s="49" t="n">
        <f aca="false">IF(BX19="",CC19,0)</f>
        <v>0.1</v>
      </c>
      <c r="CG19" s="50" t="n">
        <f aca="false">IF(CF19=0,0,CC19/SUM(CF$12:CF$19))</f>
        <v>0.111111111111111</v>
      </c>
      <c r="CH19" s="62"/>
      <c r="CI19" s="62"/>
      <c r="CJ19" s="62"/>
      <c r="CK19" s="44"/>
      <c r="CL19" s="45" t="str">
        <f aca="false">(IF(CO19="","◄",""))</f>
        <v>◄</v>
      </c>
      <c r="CM19" s="46" t="n">
        <v>0.1</v>
      </c>
      <c r="CN19" s="47" t="n">
        <f aca="false">(IF(CJ19&lt;&gt;"",1/2,0)+IF(CK19&lt;&gt;"",1,0))*CM19*CM$11*20</f>
        <v>0</v>
      </c>
      <c r="CO19" s="48" t="str">
        <f aca="false">IF(COUNTBLANK(CH19:CK19)=3,1,"")</f>
        <v/>
      </c>
      <c r="CP19" s="49" t="n">
        <f aca="false">IF(CH19="",CM19,0)</f>
        <v>0.1</v>
      </c>
      <c r="CQ19" s="50" t="n">
        <f aca="false">IF(CP19=0,0,CM19/SUM(CP$12:CP$19))</f>
        <v>0.111111111111111</v>
      </c>
      <c r="CR19" s="62"/>
      <c r="CS19" s="62"/>
      <c r="CT19" s="62"/>
      <c r="CU19" s="44"/>
      <c r="CV19" s="45" t="str">
        <f aca="false">(IF(CY19="","◄",""))</f>
        <v>◄</v>
      </c>
      <c r="CW19" s="46" t="n">
        <v>0.1</v>
      </c>
      <c r="CX19" s="47" t="n">
        <f aca="false">(IF(CT19&lt;&gt;"",1/2,0)+IF(CU19&lt;&gt;"",1,0))*CW19*CW$11*20</f>
        <v>0</v>
      </c>
      <c r="CY19" s="48" t="str">
        <f aca="false">IF(COUNTBLANK(CR19:CU19)=3,1,"")</f>
        <v/>
      </c>
      <c r="CZ19" s="49" t="n">
        <f aca="false">IF(CR19="",CW19,0)</f>
        <v>0.1</v>
      </c>
      <c r="DA19" s="50" t="n">
        <f aca="false">IF(CZ19=0,0,CW19/SUM(CZ$12:CZ$19))</f>
        <v>0.111111111111111</v>
      </c>
      <c r="DB19" s="62"/>
      <c r="DC19" s="62"/>
      <c r="DD19" s="62"/>
      <c r="DE19" s="44"/>
      <c r="DF19" s="45" t="str">
        <f aca="false">(IF(DI19="","◄",""))</f>
        <v>◄</v>
      </c>
      <c r="DG19" s="46" t="n">
        <v>0.1</v>
      </c>
      <c r="DH19" s="47" t="n">
        <f aca="false">(IF(DD19&lt;&gt;"",1/2,0)+IF(DE19&lt;&gt;"",1,0))*DG19*DG$11*20</f>
        <v>0</v>
      </c>
      <c r="DI19" s="48" t="str">
        <f aca="false">IF(COUNTBLANK(DB19:DE19)=3,1,"")</f>
        <v/>
      </c>
      <c r="DJ19" s="49" t="n">
        <f aca="false">IF(DB19="",DG19,0)</f>
        <v>0.1</v>
      </c>
      <c r="DK19" s="50" t="n">
        <f aca="false">IF(DJ19=0,0,DG19/SUM(DJ$12:DJ$19))</f>
        <v>0.111111111111111</v>
      </c>
      <c r="DL19" s="62"/>
      <c r="DM19" s="62"/>
      <c r="DN19" s="62"/>
      <c r="DO19" s="44"/>
      <c r="DP19" s="45" t="str">
        <f aca="false">(IF(DS19="","◄",""))</f>
        <v>◄</v>
      </c>
      <c r="DQ19" s="46" t="n">
        <v>0.1</v>
      </c>
      <c r="DR19" s="47" t="n">
        <f aca="false">(IF(DN19&lt;&gt;"",1/2,0)+IF(DO19&lt;&gt;"",1,0))*DQ19*DQ$11*20</f>
        <v>0</v>
      </c>
      <c r="DS19" s="48" t="str">
        <f aca="false">IF(COUNTBLANK(DL19:DO19)=3,1,"")</f>
        <v/>
      </c>
      <c r="DT19" s="49" t="n">
        <f aca="false">IF(DL19="",DQ19,0)</f>
        <v>0.1</v>
      </c>
      <c r="DU19" s="50" t="n">
        <f aca="false">IF(DT19=0,0,DQ19/SUM(DT$12:DT$19))</f>
        <v>0.111111111111111</v>
      </c>
      <c r="DV19" s="62"/>
      <c r="DW19" s="62"/>
      <c r="DX19" s="62"/>
      <c r="DY19" s="44"/>
      <c r="DZ19" s="45" t="str">
        <f aca="false">(IF(EC19="","◄",""))</f>
        <v>◄</v>
      </c>
      <c r="EA19" s="46" t="n">
        <v>0.1</v>
      </c>
      <c r="EB19" s="47" t="n">
        <f aca="false">(IF(DX19&lt;&gt;"",1/2,0)+IF(DY19&lt;&gt;"",1,0))*EA19*EA$11*20</f>
        <v>0</v>
      </c>
      <c r="EC19" s="48" t="str">
        <f aca="false">IF(COUNTBLANK(DV19:DY19)=3,1,"")</f>
        <v/>
      </c>
      <c r="ED19" s="49" t="n">
        <f aca="false">IF(DV19="",EA19,0)</f>
        <v>0.1</v>
      </c>
      <c r="EE19" s="50" t="n">
        <f aca="false">IF(ED19=0,0,EA19/SUM(ED$12:ED$19))</f>
        <v>0.111111111111111</v>
      </c>
      <c r="EF19" s="62"/>
      <c r="EG19" s="62"/>
      <c r="EH19" s="62"/>
      <c r="EI19" s="44"/>
      <c r="EJ19" s="45" t="str">
        <f aca="false">(IF(EM19="","◄",""))</f>
        <v>◄</v>
      </c>
      <c r="EK19" s="46" t="n">
        <v>0.1</v>
      </c>
      <c r="EL19" s="47" t="n">
        <f aca="false">(IF(EH19&lt;&gt;"",1/2,0)+IF(EI19&lt;&gt;"",1,0))*EK19*EK$11*20</f>
        <v>0</v>
      </c>
      <c r="EM19" s="48" t="str">
        <f aca="false">IF(COUNTBLANK(EF19:EI19)=3,1,"")</f>
        <v/>
      </c>
      <c r="EN19" s="49" t="n">
        <f aca="false">IF(EF19="",EK19,0)</f>
        <v>0.1</v>
      </c>
      <c r="EO19" s="50" t="n">
        <f aca="false">IF(EN19=0,0,EK19/SUM(EN$12:EN$19))</f>
        <v>0.111111111111111</v>
      </c>
      <c r="EP19" s="62"/>
      <c r="EQ19" s="62"/>
      <c r="ER19" s="62"/>
      <c r="ES19" s="44"/>
      <c r="ET19" s="45" t="str">
        <f aca="false">(IF(EW19="","◄",""))</f>
        <v>◄</v>
      </c>
      <c r="EU19" s="46" t="n">
        <v>0.1</v>
      </c>
      <c r="EV19" s="47" t="n">
        <f aca="false">(IF(ER19&lt;&gt;"",1/2,0)+IF(ES19&lt;&gt;"",1,0))*EU19*EU$11*20</f>
        <v>0</v>
      </c>
      <c r="EW19" s="48" t="str">
        <f aca="false">IF(COUNTBLANK(EP19:ES19)=3,1,"")</f>
        <v/>
      </c>
      <c r="EX19" s="49" t="n">
        <f aca="false">IF(EP19="",EU19,0)</f>
        <v>0.1</v>
      </c>
      <c r="EY19" s="50" t="n">
        <f aca="false">IF(EX19=0,0,EU19/SUM(EX$12:EX$19))</f>
        <v>0.111111111111111</v>
      </c>
      <c r="EZ19" s="62"/>
      <c r="FA19" s="62"/>
      <c r="FB19" s="62"/>
      <c r="FC19" s="44"/>
      <c r="FD19" s="45" t="str">
        <f aca="false">(IF(FG19="","◄",""))</f>
        <v>◄</v>
      </c>
      <c r="FE19" s="46" t="n">
        <v>0.1</v>
      </c>
      <c r="FF19" s="47" t="n">
        <f aca="false">(IF(FB19&lt;&gt;"",1/2,0)+IF(FC19&lt;&gt;"",1,0))*FE19*FE$11*20</f>
        <v>0</v>
      </c>
      <c r="FG19" s="48" t="str">
        <f aca="false">IF(COUNTBLANK(EZ19:FC19)=3,1,"")</f>
        <v/>
      </c>
      <c r="FH19" s="49" t="n">
        <f aca="false">IF(EZ19="",FE19,0)</f>
        <v>0.1</v>
      </c>
      <c r="FI19" s="50" t="n">
        <f aca="false">IF(FH19=0,0,FE19/SUM(FH$12:FH$19))</f>
        <v>0.111111111111111</v>
      </c>
      <c r="FJ19" s="62"/>
      <c r="FK19" s="62"/>
      <c r="FL19" s="62"/>
      <c r="FM19" s="44"/>
      <c r="FN19" s="45" t="str">
        <f aca="false">(IF(FQ19="","◄",""))</f>
        <v>◄</v>
      </c>
      <c r="FO19" s="46" t="n">
        <v>0.1</v>
      </c>
      <c r="FP19" s="47" t="n">
        <f aca="false">(IF(FL19&lt;&gt;"",1/2,0)+IF(FM19&lt;&gt;"",1,0))*FO19*FO$11*20</f>
        <v>0</v>
      </c>
      <c r="FQ19" s="48" t="str">
        <f aca="false">IF(COUNTBLANK(FJ19:FM19)=3,1,"")</f>
        <v/>
      </c>
      <c r="FR19" s="49" t="n">
        <f aca="false">IF(FJ19="",FO19,0)</f>
        <v>0.1</v>
      </c>
      <c r="FS19" s="50" t="n">
        <f aca="false">IF(FR19=0,0,FO19/SUM(FR$12:FR$19))</f>
        <v>0.111111111111111</v>
      </c>
      <c r="FT19" s="62"/>
      <c r="FU19" s="62"/>
      <c r="FV19" s="62"/>
      <c r="FW19" s="44"/>
      <c r="FX19" s="45" t="str">
        <f aca="false">(IF(GA19="","◄",""))</f>
        <v>◄</v>
      </c>
      <c r="FY19" s="46" t="n">
        <v>0.1</v>
      </c>
      <c r="FZ19" s="47" t="n">
        <f aca="false">(IF(FV19&lt;&gt;"",1/2,0)+IF(FW19&lt;&gt;"",1,0))*FY19*FY$11*20</f>
        <v>0</v>
      </c>
      <c r="GA19" s="48" t="str">
        <f aca="false">IF(COUNTBLANK(FT19:FW19)=3,1,"")</f>
        <v/>
      </c>
      <c r="GB19" s="49" t="n">
        <f aca="false">IF(FT19="",FY19,0)</f>
        <v>0.1</v>
      </c>
      <c r="GC19" s="50" t="n">
        <f aca="false">IF(GB19=0,0,FY19/SUM(GB$12:GB$19))</f>
        <v>0.111111111111111</v>
      </c>
      <c r="GD19" s="62"/>
      <c r="GE19" s="62"/>
      <c r="GF19" s="62"/>
      <c r="GG19" s="44"/>
      <c r="GH19" s="45" t="str">
        <f aca="false">(IF(GK19="","◄",""))</f>
        <v>◄</v>
      </c>
      <c r="GI19" s="46" t="n">
        <v>0.1</v>
      </c>
      <c r="GJ19" s="47" t="n">
        <f aca="false">(IF(GF19&lt;&gt;"",1/2,0)+IF(GG19&lt;&gt;"",1,0))*GI19*GI$11*20</f>
        <v>0</v>
      </c>
      <c r="GK19" s="48" t="str">
        <f aca="false">IF(COUNTBLANK(GD19:GG19)=3,1,"")</f>
        <v/>
      </c>
      <c r="GL19" s="49" t="n">
        <f aca="false">IF(GD19="",GI19,0)</f>
        <v>0.1</v>
      </c>
      <c r="GM19" s="50" t="n">
        <f aca="false">IF(GL19=0,0,GI19/SUM(GL$12:GL$19))</f>
        <v>0.111111111111111</v>
      </c>
      <c r="GN19" s="62"/>
      <c r="GO19" s="62"/>
      <c r="GP19" s="62"/>
      <c r="GQ19" s="44"/>
      <c r="GR19" s="45" t="str">
        <f aca="false">(IF(GU19="","◄",""))</f>
        <v>◄</v>
      </c>
      <c r="GS19" s="46" t="n">
        <v>0.1</v>
      </c>
      <c r="GT19" s="47" t="n">
        <f aca="false">(IF(GP19&lt;&gt;"",1/2,0)+IF(GQ19&lt;&gt;"",1,0))*GS19*GS$11*20</f>
        <v>0</v>
      </c>
      <c r="GU19" s="48" t="str">
        <f aca="false">IF(COUNTBLANK(GN19:GQ19)=3,1,"")</f>
        <v/>
      </c>
      <c r="GV19" s="49" t="n">
        <f aca="false">IF(GN19="",GS19,0)</f>
        <v>0.1</v>
      </c>
      <c r="GW19" s="50" t="n">
        <f aca="false">IF(GV19=0,0,GS19/SUM(GV$12:GV$19))</f>
        <v>0.111111111111111</v>
      </c>
      <c r="GX19" s="62"/>
      <c r="GY19" s="62"/>
      <c r="GZ19" s="62"/>
      <c r="HA19" s="44"/>
      <c r="HB19" s="45" t="str">
        <f aca="false">(IF(HE19="","◄",""))</f>
        <v>◄</v>
      </c>
      <c r="HC19" s="46" t="n">
        <v>0.1</v>
      </c>
      <c r="HD19" s="47" t="n">
        <f aca="false">(IF(GZ19&lt;&gt;"",1/2,0)+IF(HA19&lt;&gt;"",1,0))*HC19*HC$11*20</f>
        <v>0</v>
      </c>
      <c r="HE19" s="48" t="str">
        <f aca="false">IF(COUNTBLANK(GX19:HA19)=3,1,"")</f>
        <v/>
      </c>
      <c r="HF19" s="49" t="n">
        <f aca="false">IF(GX19="",HC19,0)</f>
        <v>0.1</v>
      </c>
      <c r="HG19" s="50" t="n">
        <f aca="false">IF(HF19=0,0,HC19/SUM(HF$12:HF$19))</f>
        <v>0.111111111111111</v>
      </c>
      <c r="HH19" s="62"/>
      <c r="HI19" s="62"/>
      <c r="HJ19" s="62"/>
      <c r="HK19" s="44"/>
      <c r="HL19" s="45" t="str">
        <f aca="false">(IF(HO19="","◄",""))</f>
        <v>◄</v>
      </c>
      <c r="HM19" s="46" t="n">
        <v>0.1</v>
      </c>
      <c r="HN19" s="47" t="n">
        <f aca="false">(IF(HJ19&lt;&gt;"",1/2,0)+IF(HK19&lt;&gt;"",1,0))*HM19*HM$11*20</f>
        <v>0</v>
      </c>
      <c r="HO19" s="48" t="str">
        <f aca="false">IF(COUNTBLANK(HH19:HK19)=3,1,"")</f>
        <v/>
      </c>
      <c r="HP19" s="49" t="n">
        <f aca="false">IF(HH19="",HM19,0)</f>
        <v>0.1</v>
      </c>
      <c r="HQ19" s="50" t="n">
        <f aca="false">IF(HP19=0,0,HM19/SUM(HP$12:HP$19))</f>
        <v>0.111111111111111</v>
      </c>
      <c r="HR19" s="62"/>
      <c r="HS19" s="62"/>
      <c r="HT19" s="62"/>
      <c r="HU19" s="44"/>
      <c r="HV19" s="45" t="str">
        <f aca="false">(IF(HY19="","◄",""))</f>
        <v>◄</v>
      </c>
      <c r="HW19" s="46" t="n">
        <v>0.1</v>
      </c>
      <c r="HX19" s="47" t="n">
        <f aca="false">(IF(HT19&lt;&gt;"",1/2,0)+IF(HU19&lt;&gt;"",1,0))*HW19*HW$11*20</f>
        <v>0</v>
      </c>
      <c r="HY19" s="48" t="str">
        <f aca="false">IF(COUNTBLANK(HR19:HU19)=3,1,"")</f>
        <v/>
      </c>
      <c r="HZ19" s="49" t="n">
        <f aca="false">IF(HR19="",HW19,0)</f>
        <v>0.1</v>
      </c>
      <c r="IA19" s="50" t="n">
        <f aca="false">IF(HZ19=0,0,HW19/SUM(HZ$12:HZ$19))</f>
        <v>0.111111111111111</v>
      </c>
      <c r="IB19" s="62"/>
      <c r="IC19" s="62"/>
      <c r="ID19" s="62"/>
      <c r="IE19" s="44"/>
      <c r="IF19" s="45" t="str">
        <f aca="false">(IF(II19="","◄",""))</f>
        <v>◄</v>
      </c>
      <c r="IG19" s="46" t="n">
        <v>0.1</v>
      </c>
      <c r="IH19" s="47" t="n">
        <f aca="false">(IF(ID19&lt;&gt;"",1/2,0)+IF(IE19&lt;&gt;"",1,0))*IG19*IG$11*20</f>
        <v>0</v>
      </c>
      <c r="II19" s="48" t="str">
        <f aca="false">IF(COUNTBLANK(IB19:IE19)=3,1,"")</f>
        <v/>
      </c>
      <c r="IJ19" s="49" t="n">
        <f aca="false">IF(IB19="",IG19,0)</f>
        <v>0.1</v>
      </c>
      <c r="IK19" s="50" t="n">
        <f aca="false">IF(IJ19=0,0,IG19/SUM(IJ$12:IJ$19))</f>
        <v>0.111111111111111</v>
      </c>
    </row>
    <row r="20" customFormat="false" ht="49.5" hidden="false" customHeight="true" outlineLevel="0" collapsed="false">
      <c r="A20" s="39" t="n">
        <v>17</v>
      </c>
      <c r="B20" s="40" t="s">
        <v>52</v>
      </c>
      <c r="C20" s="63" t="n">
        <f aca="false">$FL$43</f>
        <v>0</v>
      </c>
      <c r="D20" s="66" t="s">
        <v>53</v>
      </c>
      <c r="E20" s="57" t="s">
        <v>54</v>
      </c>
      <c r="F20" s="67"/>
      <c r="G20" s="67"/>
      <c r="H20" s="67"/>
      <c r="I20" s="67"/>
      <c r="J20" s="59"/>
      <c r="K20" s="68" t="n">
        <v>0.1</v>
      </c>
      <c r="L20" s="35" t="n">
        <f aca="false">SUM(L21:L24)</f>
        <v>0</v>
      </c>
      <c r="M20" s="48"/>
      <c r="N20" s="69" t="n">
        <f aca="false">SUM(N21:N24)*K20</f>
        <v>0.1</v>
      </c>
      <c r="O20" s="70" t="n">
        <f aca="false">IF(SUM(N21:N24)=0,K20,0)</f>
        <v>0</v>
      </c>
      <c r="P20" s="67"/>
      <c r="Q20" s="67"/>
      <c r="R20" s="67"/>
      <c r="S20" s="67"/>
      <c r="T20" s="59"/>
      <c r="U20" s="68" t="n">
        <v>0.1</v>
      </c>
      <c r="V20" s="35" t="n">
        <f aca="false">SUM(V21:V24)</f>
        <v>0</v>
      </c>
      <c r="W20" s="48"/>
      <c r="X20" s="69" t="n">
        <f aca="false">SUM(X21:X24)*U20</f>
        <v>0.1</v>
      </c>
      <c r="Y20" s="70" t="n">
        <f aca="false">IF(SUM(X21:X24)=0,U20,0)</f>
        <v>0</v>
      </c>
      <c r="Z20" s="67"/>
      <c r="AA20" s="67"/>
      <c r="AB20" s="67"/>
      <c r="AC20" s="67"/>
      <c r="AD20" s="59"/>
      <c r="AE20" s="68" t="n">
        <v>0.1</v>
      </c>
      <c r="AF20" s="35" t="n">
        <f aca="false">SUM(AF21:AF24)</f>
        <v>0</v>
      </c>
      <c r="AG20" s="48"/>
      <c r="AH20" s="69" t="n">
        <f aca="false">SUM(AH21:AH24)*AE20</f>
        <v>0.1</v>
      </c>
      <c r="AI20" s="70" t="n">
        <f aca="false">IF(SUM(AH21:AH24)=0,AE20,0)</f>
        <v>0</v>
      </c>
      <c r="AJ20" s="67"/>
      <c r="AK20" s="67"/>
      <c r="AL20" s="67"/>
      <c r="AM20" s="67"/>
      <c r="AN20" s="59"/>
      <c r="AO20" s="68" t="n">
        <v>0.1</v>
      </c>
      <c r="AP20" s="35" t="n">
        <f aca="false">SUM(AP21:AP24)</f>
        <v>0</v>
      </c>
      <c r="AQ20" s="48"/>
      <c r="AR20" s="69" t="n">
        <f aca="false">SUM(AR21:AR24)*AO20</f>
        <v>0.1</v>
      </c>
      <c r="AS20" s="70" t="n">
        <f aca="false">IF(SUM(AR21:AR24)=0,AO20,0)</f>
        <v>0</v>
      </c>
      <c r="AT20" s="67"/>
      <c r="AU20" s="67"/>
      <c r="AV20" s="67"/>
      <c r="AW20" s="67"/>
      <c r="AX20" s="59"/>
      <c r="AY20" s="68" t="n">
        <v>0.1</v>
      </c>
      <c r="AZ20" s="35" t="n">
        <f aca="false">SUM(AZ21:AZ24)</f>
        <v>0</v>
      </c>
      <c r="BA20" s="48"/>
      <c r="BB20" s="69" t="n">
        <f aca="false">SUM(BB21:BB24)*AY20</f>
        <v>0.1</v>
      </c>
      <c r="BC20" s="70" t="n">
        <f aca="false">IF(SUM(BB21:BB24)=0,AY20,0)</f>
        <v>0</v>
      </c>
      <c r="BD20" s="67"/>
      <c r="BE20" s="67"/>
      <c r="BF20" s="67"/>
      <c r="BG20" s="67"/>
      <c r="BH20" s="59"/>
      <c r="BI20" s="68" t="n">
        <v>0.1</v>
      </c>
      <c r="BJ20" s="35" t="n">
        <f aca="false">SUM(BJ21:BJ24)</f>
        <v>0</v>
      </c>
      <c r="BK20" s="48"/>
      <c r="BL20" s="69" t="n">
        <f aca="false">SUM(BL21:BL24)*BI20</f>
        <v>0.1</v>
      </c>
      <c r="BM20" s="70" t="n">
        <f aca="false">IF(SUM(BL21:BL24)=0,BI20,0)</f>
        <v>0</v>
      </c>
      <c r="BN20" s="67"/>
      <c r="BO20" s="67"/>
      <c r="BP20" s="67"/>
      <c r="BQ20" s="67"/>
      <c r="BR20" s="59"/>
      <c r="BS20" s="68" t="n">
        <v>0.1</v>
      </c>
      <c r="BT20" s="35" t="n">
        <f aca="false">SUM(BT21:BT24)</f>
        <v>0</v>
      </c>
      <c r="BU20" s="48"/>
      <c r="BV20" s="69" t="n">
        <f aca="false">SUM(BV21:BV24)*BS20</f>
        <v>0.1</v>
      </c>
      <c r="BW20" s="70" t="n">
        <f aca="false">IF(SUM(BV21:BV24)=0,BS20,0)</f>
        <v>0</v>
      </c>
      <c r="BX20" s="67"/>
      <c r="BY20" s="67"/>
      <c r="BZ20" s="67"/>
      <c r="CA20" s="67"/>
      <c r="CB20" s="59"/>
      <c r="CC20" s="68" t="n">
        <v>0.1</v>
      </c>
      <c r="CD20" s="35" t="n">
        <f aca="false">SUM(CD21:CD24)</f>
        <v>0</v>
      </c>
      <c r="CE20" s="48"/>
      <c r="CF20" s="69" t="n">
        <f aca="false">SUM(CF21:CF24)*CC20</f>
        <v>0.1</v>
      </c>
      <c r="CG20" s="70" t="n">
        <f aca="false">IF(SUM(CF21:CF24)=0,CC20,0)</f>
        <v>0</v>
      </c>
      <c r="CH20" s="67"/>
      <c r="CI20" s="67"/>
      <c r="CJ20" s="67"/>
      <c r="CK20" s="67"/>
      <c r="CL20" s="59"/>
      <c r="CM20" s="68" t="n">
        <v>0.1</v>
      </c>
      <c r="CN20" s="35" t="n">
        <f aca="false">SUM(CN21:CN24)</f>
        <v>0</v>
      </c>
      <c r="CO20" s="48"/>
      <c r="CP20" s="69" t="n">
        <f aca="false">SUM(CP21:CP24)*CM20</f>
        <v>0.1</v>
      </c>
      <c r="CQ20" s="70" t="n">
        <f aca="false">IF(SUM(CP21:CP24)=0,CM20,0)</f>
        <v>0</v>
      </c>
      <c r="CR20" s="67"/>
      <c r="CS20" s="67"/>
      <c r="CT20" s="67"/>
      <c r="CU20" s="67"/>
      <c r="CV20" s="59"/>
      <c r="CW20" s="68" t="n">
        <v>0.1</v>
      </c>
      <c r="CX20" s="35" t="n">
        <f aca="false">SUM(CX21:CX24)</f>
        <v>0</v>
      </c>
      <c r="CY20" s="48"/>
      <c r="CZ20" s="69" t="n">
        <f aca="false">SUM(CZ21:CZ24)*CW20</f>
        <v>0.1</v>
      </c>
      <c r="DA20" s="70" t="n">
        <f aca="false">IF(SUM(CZ21:CZ24)=0,CW20,0)</f>
        <v>0</v>
      </c>
      <c r="DB20" s="67"/>
      <c r="DC20" s="67"/>
      <c r="DD20" s="67"/>
      <c r="DE20" s="67"/>
      <c r="DF20" s="59"/>
      <c r="DG20" s="68" t="n">
        <v>0.1</v>
      </c>
      <c r="DH20" s="35" t="n">
        <f aca="false">SUM(DH21:DH24)</f>
        <v>0</v>
      </c>
      <c r="DI20" s="48"/>
      <c r="DJ20" s="69" t="n">
        <f aca="false">SUM(DJ21:DJ24)*DG20</f>
        <v>0.1</v>
      </c>
      <c r="DK20" s="70" t="n">
        <f aca="false">IF(SUM(DJ21:DJ24)=0,DG20,0)</f>
        <v>0</v>
      </c>
      <c r="DL20" s="67"/>
      <c r="DM20" s="67"/>
      <c r="DN20" s="67"/>
      <c r="DO20" s="67"/>
      <c r="DP20" s="59"/>
      <c r="DQ20" s="68" t="n">
        <v>0.1</v>
      </c>
      <c r="DR20" s="35" t="n">
        <f aca="false">SUM(DR21:DR24)</f>
        <v>0</v>
      </c>
      <c r="DS20" s="48"/>
      <c r="DT20" s="69" t="n">
        <f aca="false">SUM(DT21:DT24)*DQ20</f>
        <v>0.1</v>
      </c>
      <c r="DU20" s="70" t="n">
        <f aca="false">IF(SUM(DT21:DT24)=0,DQ20,0)</f>
        <v>0</v>
      </c>
      <c r="DV20" s="67"/>
      <c r="DW20" s="67"/>
      <c r="DX20" s="67"/>
      <c r="DY20" s="67"/>
      <c r="DZ20" s="59"/>
      <c r="EA20" s="68" t="n">
        <v>0.1</v>
      </c>
      <c r="EB20" s="35" t="n">
        <f aca="false">SUM(EB21:EB24)</f>
        <v>0</v>
      </c>
      <c r="EC20" s="48"/>
      <c r="ED20" s="69" t="n">
        <f aca="false">SUM(ED21:ED24)*EA20</f>
        <v>0.1</v>
      </c>
      <c r="EE20" s="70" t="n">
        <f aca="false">IF(SUM(ED21:ED24)=0,EA20,0)</f>
        <v>0</v>
      </c>
      <c r="EF20" s="67"/>
      <c r="EG20" s="67"/>
      <c r="EH20" s="67"/>
      <c r="EI20" s="67"/>
      <c r="EJ20" s="59"/>
      <c r="EK20" s="68" t="n">
        <v>0.1</v>
      </c>
      <c r="EL20" s="35" t="n">
        <f aca="false">SUM(EL21:EL24)</f>
        <v>0</v>
      </c>
      <c r="EM20" s="48"/>
      <c r="EN20" s="69" t="n">
        <f aca="false">SUM(EN21:EN24)*EK20</f>
        <v>0.1</v>
      </c>
      <c r="EO20" s="70" t="n">
        <f aca="false">IF(SUM(EN21:EN24)=0,EK20,0)</f>
        <v>0</v>
      </c>
      <c r="EP20" s="67"/>
      <c r="EQ20" s="67"/>
      <c r="ER20" s="67"/>
      <c r="ES20" s="67"/>
      <c r="ET20" s="59"/>
      <c r="EU20" s="68" t="n">
        <v>0.1</v>
      </c>
      <c r="EV20" s="35" t="n">
        <f aca="false">SUM(EV21:EV24)</f>
        <v>0</v>
      </c>
      <c r="EW20" s="48"/>
      <c r="EX20" s="69" t="n">
        <f aca="false">SUM(EX21:EX24)*EU20</f>
        <v>0.1</v>
      </c>
      <c r="EY20" s="70" t="n">
        <f aca="false">IF(SUM(EX21:EX24)=0,EU20,0)</f>
        <v>0</v>
      </c>
      <c r="EZ20" s="67"/>
      <c r="FA20" s="67"/>
      <c r="FB20" s="67"/>
      <c r="FC20" s="67"/>
      <c r="FD20" s="59"/>
      <c r="FE20" s="68" t="n">
        <v>0.1</v>
      </c>
      <c r="FF20" s="35" t="n">
        <f aca="false">SUM(FF21:FF24)</f>
        <v>0</v>
      </c>
      <c r="FG20" s="48"/>
      <c r="FH20" s="69" t="n">
        <f aca="false">SUM(FH21:FH24)*FE20</f>
        <v>0.1</v>
      </c>
      <c r="FI20" s="70" t="n">
        <f aca="false">IF(SUM(FH21:FH24)=0,FE20,0)</f>
        <v>0</v>
      </c>
      <c r="FJ20" s="67"/>
      <c r="FK20" s="67"/>
      <c r="FL20" s="67"/>
      <c r="FM20" s="67"/>
      <c r="FN20" s="59"/>
      <c r="FO20" s="68" t="n">
        <v>0.1</v>
      </c>
      <c r="FP20" s="35" t="n">
        <f aca="false">SUM(FP21:FP24)</f>
        <v>0</v>
      </c>
      <c r="FQ20" s="48"/>
      <c r="FR20" s="69" t="n">
        <f aca="false">SUM(FR21:FR24)*FO20</f>
        <v>0.1</v>
      </c>
      <c r="FS20" s="70" t="n">
        <f aca="false">IF(SUM(FR21:FR24)=0,FO20,0)</f>
        <v>0</v>
      </c>
      <c r="FT20" s="67"/>
      <c r="FU20" s="67"/>
      <c r="FV20" s="67"/>
      <c r="FW20" s="67"/>
      <c r="FX20" s="59"/>
      <c r="FY20" s="68" t="n">
        <v>0.1</v>
      </c>
      <c r="FZ20" s="35" t="n">
        <f aca="false">SUM(FZ21:FZ24)</f>
        <v>0</v>
      </c>
      <c r="GA20" s="48"/>
      <c r="GB20" s="69" t="n">
        <f aca="false">SUM(GB21:GB24)*FY20</f>
        <v>0.1</v>
      </c>
      <c r="GC20" s="70" t="n">
        <f aca="false">IF(SUM(GB21:GB24)=0,FY20,0)</f>
        <v>0</v>
      </c>
      <c r="GD20" s="67"/>
      <c r="GE20" s="67"/>
      <c r="GF20" s="67"/>
      <c r="GG20" s="67"/>
      <c r="GH20" s="59"/>
      <c r="GI20" s="68" t="n">
        <v>0.1</v>
      </c>
      <c r="GJ20" s="35" t="n">
        <f aca="false">SUM(GJ21:GJ24)</f>
        <v>0</v>
      </c>
      <c r="GK20" s="48"/>
      <c r="GL20" s="69" t="n">
        <f aca="false">SUM(GL21:GL24)*GI20</f>
        <v>0.1</v>
      </c>
      <c r="GM20" s="70" t="n">
        <f aca="false">IF(SUM(GL21:GL24)=0,GI20,0)</f>
        <v>0</v>
      </c>
      <c r="GN20" s="67"/>
      <c r="GO20" s="67"/>
      <c r="GP20" s="67"/>
      <c r="GQ20" s="67"/>
      <c r="GR20" s="59"/>
      <c r="GS20" s="68" t="n">
        <v>0.1</v>
      </c>
      <c r="GT20" s="35" t="n">
        <f aca="false">SUM(GT21:GT24)</f>
        <v>0</v>
      </c>
      <c r="GU20" s="48"/>
      <c r="GV20" s="69" t="n">
        <f aca="false">SUM(GV21:GV24)*GS20</f>
        <v>0.1</v>
      </c>
      <c r="GW20" s="70" t="n">
        <f aca="false">IF(SUM(GV21:GV24)=0,GS20,0)</f>
        <v>0</v>
      </c>
      <c r="GX20" s="67"/>
      <c r="GY20" s="67"/>
      <c r="GZ20" s="67"/>
      <c r="HA20" s="67"/>
      <c r="HB20" s="59"/>
      <c r="HC20" s="68" t="n">
        <v>0.1</v>
      </c>
      <c r="HD20" s="35" t="n">
        <f aca="false">SUM(HD21:HD24)</f>
        <v>0</v>
      </c>
      <c r="HE20" s="48"/>
      <c r="HF20" s="69" t="n">
        <f aca="false">SUM(HF21:HF24)*HC20</f>
        <v>0.1</v>
      </c>
      <c r="HG20" s="70" t="n">
        <f aca="false">IF(SUM(HF21:HF24)=0,HC20,0)</f>
        <v>0</v>
      </c>
      <c r="HH20" s="67"/>
      <c r="HI20" s="67"/>
      <c r="HJ20" s="67"/>
      <c r="HK20" s="67"/>
      <c r="HL20" s="59"/>
      <c r="HM20" s="68" t="n">
        <v>0.1</v>
      </c>
      <c r="HN20" s="35" t="n">
        <f aca="false">SUM(HN21:HN24)</f>
        <v>0</v>
      </c>
      <c r="HO20" s="48"/>
      <c r="HP20" s="69" t="n">
        <f aca="false">SUM(HP21:HP24)*HM20</f>
        <v>0.1</v>
      </c>
      <c r="HQ20" s="70" t="n">
        <f aca="false">IF(SUM(HP21:HP24)=0,HM20,0)</f>
        <v>0</v>
      </c>
      <c r="HR20" s="67"/>
      <c r="HS20" s="67"/>
      <c r="HT20" s="67"/>
      <c r="HU20" s="67"/>
      <c r="HV20" s="59"/>
      <c r="HW20" s="68" t="n">
        <v>0.1</v>
      </c>
      <c r="HX20" s="35" t="n">
        <f aca="false">SUM(HX21:HX24)</f>
        <v>0</v>
      </c>
      <c r="HY20" s="48"/>
      <c r="HZ20" s="69" t="n">
        <f aca="false">SUM(HZ21:HZ24)*HW20</f>
        <v>0.1</v>
      </c>
      <c r="IA20" s="70" t="n">
        <f aca="false">IF(SUM(HZ21:HZ24)=0,HW20,0)</f>
        <v>0</v>
      </c>
      <c r="IB20" s="67"/>
      <c r="IC20" s="67"/>
      <c r="ID20" s="67"/>
      <c r="IE20" s="67"/>
      <c r="IF20" s="59"/>
      <c r="IG20" s="68" t="n">
        <v>0.1</v>
      </c>
      <c r="IH20" s="35" t="n">
        <f aca="false">SUM(IH21:IH24)</f>
        <v>0</v>
      </c>
      <c r="II20" s="48"/>
      <c r="IJ20" s="69" t="n">
        <f aca="false">SUM(IJ21:IJ24)*IG20</f>
        <v>0.1</v>
      </c>
      <c r="IK20" s="70" t="n">
        <f aca="false">IF(SUM(IJ21:IJ24)=0,IG20,0)</f>
        <v>0</v>
      </c>
    </row>
    <row r="21" customFormat="false" ht="49.5" hidden="false" customHeight="true" outlineLevel="0" collapsed="false">
      <c r="A21" s="39" t="n">
        <v>18</v>
      </c>
      <c r="B21" s="40" t="s">
        <v>55</v>
      </c>
      <c r="C21" s="63" t="n">
        <f aca="false">$FV$43</f>
        <v>0</v>
      </c>
      <c r="D21" s="71" t="s">
        <v>56</v>
      </c>
      <c r="E21" s="61" t="s">
        <v>57</v>
      </c>
      <c r="F21" s="62"/>
      <c r="G21" s="62"/>
      <c r="H21" s="62"/>
      <c r="I21" s="62"/>
      <c r="J21" s="45" t="str">
        <f aca="false">(IF(M21="","◄",""))</f>
        <v>◄</v>
      </c>
      <c r="K21" s="72" t="n">
        <v>0.25</v>
      </c>
      <c r="L21" s="73" t="n">
        <f aca="false">(IF(H21&lt;&gt;"",1/2,0)+IF(I21&lt;&gt;"",1,0))*K21*K$20*20</f>
        <v>0</v>
      </c>
      <c r="M21" s="48" t="str">
        <f aca="false">IF(COUNTBLANK(F21:I21)=3,1,"")</f>
        <v/>
      </c>
      <c r="N21" s="74" t="n">
        <f aca="false">IF(F21="",K21,0)</f>
        <v>0.25</v>
      </c>
      <c r="O21" s="50" t="n">
        <f aca="false">IF(N21=0,0,K21/SUM(N$21:N$24))</f>
        <v>0.25</v>
      </c>
      <c r="P21" s="62"/>
      <c r="Q21" s="62"/>
      <c r="R21" s="62"/>
      <c r="S21" s="62"/>
      <c r="T21" s="45" t="str">
        <f aca="false">(IF(W21="","◄",""))</f>
        <v>◄</v>
      </c>
      <c r="U21" s="72" t="n">
        <v>0.25</v>
      </c>
      <c r="V21" s="73" t="n">
        <f aca="false">(IF(R21&lt;&gt;"",1/2,0)+IF(S21&lt;&gt;"",1,0))*U21*U$20*20</f>
        <v>0</v>
      </c>
      <c r="W21" s="48" t="str">
        <f aca="false">IF(COUNTBLANK(P21:S21)=3,1,"")</f>
        <v/>
      </c>
      <c r="X21" s="74" t="n">
        <f aca="false">IF(P21="",U21,0)</f>
        <v>0.25</v>
      </c>
      <c r="Y21" s="50" t="n">
        <f aca="false">IF(X21=0,0,U21/SUM(X$21:X$24))</f>
        <v>0.25</v>
      </c>
      <c r="Z21" s="62"/>
      <c r="AA21" s="62"/>
      <c r="AB21" s="62"/>
      <c r="AC21" s="62"/>
      <c r="AD21" s="45" t="str">
        <f aca="false">(IF(AG21="","◄",""))</f>
        <v>◄</v>
      </c>
      <c r="AE21" s="72" t="n">
        <v>0.25</v>
      </c>
      <c r="AF21" s="73" t="n">
        <f aca="false">(IF(AB21&lt;&gt;"",1/2,0)+IF(AC21&lt;&gt;"",1,0))*AE21*AE$20*20</f>
        <v>0</v>
      </c>
      <c r="AG21" s="48" t="str">
        <f aca="false">IF(COUNTBLANK(Z21:AC21)=3,1,"")</f>
        <v/>
      </c>
      <c r="AH21" s="74" t="n">
        <f aca="false">IF(Z21="",AE21,0)</f>
        <v>0.25</v>
      </c>
      <c r="AI21" s="50" t="n">
        <f aca="false">IF(AH21=0,0,AE21/SUM(AH$21:AH$24))</f>
        <v>0.25</v>
      </c>
      <c r="AJ21" s="62"/>
      <c r="AK21" s="62"/>
      <c r="AL21" s="62"/>
      <c r="AM21" s="62"/>
      <c r="AN21" s="45" t="str">
        <f aca="false">(IF(AQ21="","◄",""))</f>
        <v>◄</v>
      </c>
      <c r="AO21" s="72" t="n">
        <v>0.25</v>
      </c>
      <c r="AP21" s="73" t="n">
        <f aca="false">(IF(AL21&lt;&gt;"",1/2,0)+IF(AM21&lt;&gt;"",1,0))*AO21*AO$20*20</f>
        <v>0</v>
      </c>
      <c r="AQ21" s="48" t="str">
        <f aca="false">IF(COUNTBLANK(AJ21:AM21)=3,1,"")</f>
        <v/>
      </c>
      <c r="AR21" s="74" t="n">
        <f aca="false">IF(AJ21="",AO21,0)</f>
        <v>0.25</v>
      </c>
      <c r="AS21" s="50" t="n">
        <f aca="false">IF(AR21=0,0,AO21/SUM(AR$21:AR$24))</f>
        <v>0.25</v>
      </c>
      <c r="AT21" s="62"/>
      <c r="AU21" s="62"/>
      <c r="AV21" s="62"/>
      <c r="AW21" s="62"/>
      <c r="AX21" s="45" t="str">
        <f aca="false">(IF(BA21="","◄",""))</f>
        <v>◄</v>
      </c>
      <c r="AY21" s="72" t="n">
        <v>0.25</v>
      </c>
      <c r="AZ21" s="73" t="n">
        <f aca="false">(IF(AV21&lt;&gt;"",1/2,0)+IF(AW21&lt;&gt;"",1,0))*AY21*AY$20*20</f>
        <v>0</v>
      </c>
      <c r="BA21" s="48" t="str">
        <f aca="false">IF(COUNTBLANK(AT21:AW21)=3,1,"")</f>
        <v/>
      </c>
      <c r="BB21" s="74" t="n">
        <f aca="false">IF(AT21="",AY21,0)</f>
        <v>0.25</v>
      </c>
      <c r="BC21" s="50" t="n">
        <f aca="false">IF(BB21=0,0,AY21/SUM(BB$21:BB$24))</f>
        <v>0.25</v>
      </c>
      <c r="BD21" s="62"/>
      <c r="BE21" s="62"/>
      <c r="BF21" s="62"/>
      <c r="BG21" s="62"/>
      <c r="BH21" s="45" t="str">
        <f aca="false">(IF(BK21="","◄",""))</f>
        <v>◄</v>
      </c>
      <c r="BI21" s="72" t="n">
        <v>0.25</v>
      </c>
      <c r="BJ21" s="73" t="n">
        <f aca="false">(IF(BF21&lt;&gt;"",1/2,0)+IF(BG21&lt;&gt;"",1,0))*BI21*BI$20*20</f>
        <v>0</v>
      </c>
      <c r="BK21" s="48" t="str">
        <f aca="false">IF(COUNTBLANK(BD21:BG21)=3,1,"")</f>
        <v/>
      </c>
      <c r="BL21" s="74" t="n">
        <f aca="false">IF(BD21="",BI21,0)</f>
        <v>0.25</v>
      </c>
      <c r="BM21" s="50" t="n">
        <f aca="false">IF(BL21=0,0,BI21/SUM(BL$21:BL$24))</f>
        <v>0.25</v>
      </c>
      <c r="BN21" s="62"/>
      <c r="BO21" s="62"/>
      <c r="BP21" s="62"/>
      <c r="BQ21" s="62"/>
      <c r="BR21" s="45" t="str">
        <f aca="false">(IF(BU21="","◄",""))</f>
        <v>◄</v>
      </c>
      <c r="BS21" s="72" t="n">
        <v>0.25</v>
      </c>
      <c r="BT21" s="73" t="n">
        <f aca="false">(IF(BP21&lt;&gt;"",1/2,0)+IF(BQ21&lt;&gt;"",1,0))*BS21*BS$20*20</f>
        <v>0</v>
      </c>
      <c r="BU21" s="48" t="str">
        <f aca="false">IF(COUNTBLANK(BN21:BQ21)=3,1,"")</f>
        <v/>
      </c>
      <c r="BV21" s="74" t="n">
        <f aca="false">IF(BN21="",BS21,0)</f>
        <v>0.25</v>
      </c>
      <c r="BW21" s="50" t="n">
        <f aca="false">IF(BV21=0,0,BS21/SUM(BV$21:BV$24))</f>
        <v>0.25</v>
      </c>
      <c r="BX21" s="62"/>
      <c r="BY21" s="62"/>
      <c r="BZ21" s="62"/>
      <c r="CA21" s="62"/>
      <c r="CB21" s="45" t="str">
        <f aca="false">(IF(CE21="","◄",""))</f>
        <v>◄</v>
      </c>
      <c r="CC21" s="72" t="n">
        <v>0.25</v>
      </c>
      <c r="CD21" s="73" t="n">
        <f aca="false">(IF(BZ21&lt;&gt;"",1/2,0)+IF(CA21&lt;&gt;"",1,0))*CC21*CC$20*20</f>
        <v>0</v>
      </c>
      <c r="CE21" s="48" t="str">
        <f aca="false">IF(COUNTBLANK(BX21:CA21)=3,1,"")</f>
        <v/>
      </c>
      <c r="CF21" s="74" t="n">
        <f aca="false">IF(BX21="",CC21,0)</f>
        <v>0.25</v>
      </c>
      <c r="CG21" s="50" t="n">
        <f aca="false">IF(CF21=0,0,CC21/SUM(CF$21:CF$24))</f>
        <v>0.25</v>
      </c>
      <c r="CH21" s="62"/>
      <c r="CI21" s="62"/>
      <c r="CJ21" s="62"/>
      <c r="CK21" s="62"/>
      <c r="CL21" s="45" t="str">
        <f aca="false">(IF(CO21="","◄",""))</f>
        <v>◄</v>
      </c>
      <c r="CM21" s="72" t="n">
        <v>0.25</v>
      </c>
      <c r="CN21" s="73" t="n">
        <f aca="false">(IF(CJ21&lt;&gt;"",1/2,0)+IF(CK21&lt;&gt;"",1,0))*CM21*CM$20*20</f>
        <v>0</v>
      </c>
      <c r="CO21" s="48" t="str">
        <f aca="false">IF(COUNTBLANK(CH21:CK21)=3,1,"")</f>
        <v/>
      </c>
      <c r="CP21" s="74" t="n">
        <f aca="false">IF(CH21="",CM21,0)</f>
        <v>0.25</v>
      </c>
      <c r="CQ21" s="50" t="n">
        <f aca="false">IF(CP21=0,0,CM21/SUM(CP$21:CP$24))</f>
        <v>0.25</v>
      </c>
      <c r="CR21" s="62"/>
      <c r="CS21" s="62"/>
      <c r="CT21" s="62"/>
      <c r="CU21" s="62"/>
      <c r="CV21" s="45" t="str">
        <f aca="false">(IF(CY21="","◄",""))</f>
        <v>◄</v>
      </c>
      <c r="CW21" s="72" t="n">
        <v>0.25</v>
      </c>
      <c r="CX21" s="73" t="n">
        <f aca="false">(IF(CT21&lt;&gt;"",1/2,0)+IF(CU21&lt;&gt;"",1,0))*CW21*CW$20*20</f>
        <v>0</v>
      </c>
      <c r="CY21" s="48" t="str">
        <f aca="false">IF(COUNTBLANK(CR21:CU21)=3,1,"")</f>
        <v/>
      </c>
      <c r="CZ21" s="74" t="n">
        <f aca="false">IF(CR21="",CW21,0)</f>
        <v>0.25</v>
      </c>
      <c r="DA21" s="50" t="n">
        <f aca="false">IF(CZ21=0,0,CW21/SUM(CZ$21:CZ$24))</f>
        <v>0.25</v>
      </c>
      <c r="DB21" s="62"/>
      <c r="DC21" s="62"/>
      <c r="DD21" s="62"/>
      <c r="DE21" s="62"/>
      <c r="DF21" s="45" t="str">
        <f aca="false">(IF(DI21="","◄",""))</f>
        <v>◄</v>
      </c>
      <c r="DG21" s="72" t="n">
        <v>0.25</v>
      </c>
      <c r="DH21" s="73" t="n">
        <f aca="false">(IF(DD21&lt;&gt;"",1/2,0)+IF(DE21&lt;&gt;"",1,0))*DG21*DG$20*20</f>
        <v>0</v>
      </c>
      <c r="DI21" s="48" t="str">
        <f aca="false">IF(COUNTBLANK(DB21:DE21)=3,1,"")</f>
        <v/>
      </c>
      <c r="DJ21" s="74" t="n">
        <f aca="false">IF(DB21="",DG21,0)</f>
        <v>0.25</v>
      </c>
      <c r="DK21" s="50" t="n">
        <f aca="false">IF(DJ21=0,0,DG21/SUM(DJ$21:DJ$24))</f>
        <v>0.25</v>
      </c>
      <c r="DL21" s="62"/>
      <c r="DM21" s="62"/>
      <c r="DN21" s="62"/>
      <c r="DO21" s="62"/>
      <c r="DP21" s="45" t="str">
        <f aca="false">(IF(DS21="","◄",""))</f>
        <v>◄</v>
      </c>
      <c r="DQ21" s="72" t="n">
        <v>0.25</v>
      </c>
      <c r="DR21" s="73" t="n">
        <f aca="false">(IF(DN21&lt;&gt;"",1/2,0)+IF(DO21&lt;&gt;"",1,0))*DQ21*DQ$20*20</f>
        <v>0</v>
      </c>
      <c r="DS21" s="48" t="str">
        <f aca="false">IF(COUNTBLANK(DL21:DO21)=3,1,"")</f>
        <v/>
      </c>
      <c r="DT21" s="74" t="n">
        <f aca="false">IF(DL21="",DQ21,0)</f>
        <v>0.25</v>
      </c>
      <c r="DU21" s="50" t="n">
        <f aca="false">IF(DT21=0,0,DQ21/SUM(DT$21:DT$24))</f>
        <v>0.25</v>
      </c>
      <c r="DV21" s="62"/>
      <c r="DW21" s="62"/>
      <c r="DX21" s="62"/>
      <c r="DY21" s="62"/>
      <c r="DZ21" s="45" t="str">
        <f aca="false">(IF(EC21="","◄",""))</f>
        <v>◄</v>
      </c>
      <c r="EA21" s="72" t="n">
        <v>0.25</v>
      </c>
      <c r="EB21" s="73" t="n">
        <f aca="false">(IF(DX21&lt;&gt;"",1/2,0)+IF(DY21&lt;&gt;"",1,0))*EA21*EA$20*20</f>
        <v>0</v>
      </c>
      <c r="EC21" s="48" t="str">
        <f aca="false">IF(COUNTBLANK(DV21:DY21)=3,1,"")</f>
        <v/>
      </c>
      <c r="ED21" s="74" t="n">
        <f aca="false">IF(DV21="",EA21,0)</f>
        <v>0.25</v>
      </c>
      <c r="EE21" s="50" t="n">
        <f aca="false">IF(ED21=0,0,EA21/SUM(ED$21:ED$24))</f>
        <v>0.25</v>
      </c>
      <c r="EF21" s="62"/>
      <c r="EG21" s="62"/>
      <c r="EH21" s="62"/>
      <c r="EI21" s="62"/>
      <c r="EJ21" s="45" t="str">
        <f aca="false">(IF(EM21="","◄",""))</f>
        <v>◄</v>
      </c>
      <c r="EK21" s="72" t="n">
        <v>0.25</v>
      </c>
      <c r="EL21" s="73" t="n">
        <f aca="false">(IF(EH21&lt;&gt;"",1/2,0)+IF(EI21&lt;&gt;"",1,0))*EK21*EK$20*20</f>
        <v>0</v>
      </c>
      <c r="EM21" s="48" t="str">
        <f aca="false">IF(COUNTBLANK(EF21:EI21)=3,1,"")</f>
        <v/>
      </c>
      <c r="EN21" s="74" t="n">
        <f aca="false">IF(EF21="",EK21,0)</f>
        <v>0.25</v>
      </c>
      <c r="EO21" s="50" t="n">
        <f aca="false">IF(EN21=0,0,EK21/SUM(EN$21:EN$24))</f>
        <v>0.25</v>
      </c>
      <c r="EP21" s="62"/>
      <c r="EQ21" s="62"/>
      <c r="ER21" s="62"/>
      <c r="ES21" s="62"/>
      <c r="ET21" s="45" t="str">
        <f aca="false">(IF(EW21="","◄",""))</f>
        <v>◄</v>
      </c>
      <c r="EU21" s="72" t="n">
        <v>0.25</v>
      </c>
      <c r="EV21" s="73" t="n">
        <f aca="false">(IF(ER21&lt;&gt;"",1/2,0)+IF(ES21&lt;&gt;"",1,0))*EU21*EU$20*20</f>
        <v>0</v>
      </c>
      <c r="EW21" s="48" t="str">
        <f aca="false">IF(COUNTBLANK(EP21:ES21)=3,1,"")</f>
        <v/>
      </c>
      <c r="EX21" s="74" t="n">
        <f aca="false">IF(EP21="",EU21,0)</f>
        <v>0.25</v>
      </c>
      <c r="EY21" s="50" t="n">
        <f aca="false">IF(EX21=0,0,EU21/SUM(EX$21:EX$24))</f>
        <v>0.25</v>
      </c>
      <c r="EZ21" s="62"/>
      <c r="FA21" s="62"/>
      <c r="FB21" s="62"/>
      <c r="FC21" s="62"/>
      <c r="FD21" s="45" t="str">
        <f aca="false">(IF(FG21="","◄",""))</f>
        <v>◄</v>
      </c>
      <c r="FE21" s="72" t="n">
        <v>0.25</v>
      </c>
      <c r="FF21" s="73" t="n">
        <f aca="false">(IF(FB21&lt;&gt;"",1/2,0)+IF(FC21&lt;&gt;"",1,0))*FE21*FE$20*20</f>
        <v>0</v>
      </c>
      <c r="FG21" s="48" t="str">
        <f aca="false">IF(COUNTBLANK(EZ21:FC21)=3,1,"")</f>
        <v/>
      </c>
      <c r="FH21" s="74" t="n">
        <f aca="false">IF(EZ21="",FE21,0)</f>
        <v>0.25</v>
      </c>
      <c r="FI21" s="50" t="n">
        <f aca="false">IF(FH21=0,0,FE21/SUM(FH$21:FH$24))</f>
        <v>0.25</v>
      </c>
      <c r="FJ21" s="62"/>
      <c r="FK21" s="62"/>
      <c r="FL21" s="62"/>
      <c r="FM21" s="62"/>
      <c r="FN21" s="45" t="str">
        <f aca="false">(IF(FQ21="","◄",""))</f>
        <v>◄</v>
      </c>
      <c r="FO21" s="72" t="n">
        <v>0.25</v>
      </c>
      <c r="FP21" s="73" t="n">
        <f aca="false">(IF(FL21&lt;&gt;"",1/2,0)+IF(FM21&lt;&gt;"",1,0))*FO21*FO$20*20</f>
        <v>0</v>
      </c>
      <c r="FQ21" s="48" t="str">
        <f aca="false">IF(COUNTBLANK(FJ21:FM21)=3,1,"")</f>
        <v/>
      </c>
      <c r="FR21" s="74" t="n">
        <f aca="false">IF(FJ21="",FO21,0)</f>
        <v>0.25</v>
      </c>
      <c r="FS21" s="50" t="n">
        <f aca="false">IF(FR21=0,0,FO21/SUM(FR$21:FR$24))</f>
        <v>0.25</v>
      </c>
      <c r="FT21" s="62"/>
      <c r="FU21" s="62"/>
      <c r="FV21" s="62"/>
      <c r="FW21" s="62"/>
      <c r="FX21" s="45" t="str">
        <f aca="false">(IF(GA21="","◄",""))</f>
        <v>◄</v>
      </c>
      <c r="FY21" s="72" t="n">
        <v>0.25</v>
      </c>
      <c r="FZ21" s="73" t="n">
        <f aca="false">(IF(FV21&lt;&gt;"",1/2,0)+IF(FW21&lt;&gt;"",1,0))*FY21*FY$20*20</f>
        <v>0</v>
      </c>
      <c r="GA21" s="48" t="str">
        <f aca="false">IF(COUNTBLANK(FT21:FW21)=3,1,"")</f>
        <v/>
      </c>
      <c r="GB21" s="74" t="n">
        <f aca="false">IF(FT21="",FY21,0)</f>
        <v>0.25</v>
      </c>
      <c r="GC21" s="50" t="n">
        <f aca="false">IF(GB21=0,0,FY21/SUM(GB$21:GB$24))</f>
        <v>0.25</v>
      </c>
      <c r="GD21" s="62"/>
      <c r="GE21" s="62"/>
      <c r="GF21" s="62"/>
      <c r="GG21" s="62"/>
      <c r="GH21" s="45" t="str">
        <f aca="false">(IF(GK21="","◄",""))</f>
        <v>◄</v>
      </c>
      <c r="GI21" s="72" t="n">
        <v>0.25</v>
      </c>
      <c r="GJ21" s="73" t="n">
        <f aca="false">(IF(GF21&lt;&gt;"",1/2,0)+IF(GG21&lt;&gt;"",1,0))*GI21*GI$20*20</f>
        <v>0</v>
      </c>
      <c r="GK21" s="48" t="str">
        <f aca="false">IF(COUNTBLANK(GD21:GG21)=3,1,"")</f>
        <v/>
      </c>
      <c r="GL21" s="74" t="n">
        <f aca="false">IF(GD21="",GI21,0)</f>
        <v>0.25</v>
      </c>
      <c r="GM21" s="50" t="n">
        <f aca="false">IF(GL21=0,0,GI21/SUM(GL$21:GL$24))</f>
        <v>0.25</v>
      </c>
      <c r="GN21" s="62"/>
      <c r="GO21" s="62"/>
      <c r="GP21" s="62"/>
      <c r="GQ21" s="62"/>
      <c r="GR21" s="45" t="str">
        <f aca="false">(IF(GU21="","◄",""))</f>
        <v>◄</v>
      </c>
      <c r="GS21" s="72" t="n">
        <v>0.25</v>
      </c>
      <c r="GT21" s="73" t="n">
        <f aca="false">(IF(GP21&lt;&gt;"",1/2,0)+IF(GQ21&lt;&gt;"",1,0))*GS21*GS$20*20</f>
        <v>0</v>
      </c>
      <c r="GU21" s="48" t="str">
        <f aca="false">IF(COUNTBLANK(GN21:GQ21)=3,1,"")</f>
        <v/>
      </c>
      <c r="GV21" s="74" t="n">
        <f aca="false">IF(GN21="",GS21,0)</f>
        <v>0.25</v>
      </c>
      <c r="GW21" s="50" t="n">
        <f aca="false">IF(GV21=0,0,GS21/SUM(GV$21:GV$24))</f>
        <v>0.25</v>
      </c>
      <c r="GX21" s="62"/>
      <c r="GY21" s="62"/>
      <c r="GZ21" s="62"/>
      <c r="HA21" s="62"/>
      <c r="HB21" s="45" t="str">
        <f aca="false">(IF(HE21="","◄",""))</f>
        <v>◄</v>
      </c>
      <c r="HC21" s="72" t="n">
        <v>0.25</v>
      </c>
      <c r="HD21" s="73" t="n">
        <f aca="false">(IF(GZ21&lt;&gt;"",1/2,0)+IF(HA21&lt;&gt;"",1,0))*HC21*HC$20*20</f>
        <v>0</v>
      </c>
      <c r="HE21" s="48" t="str">
        <f aca="false">IF(COUNTBLANK(GX21:HA21)=3,1,"")</f>
        <v/>
      </c>
      <c r="HF21" s="74" t="n">
        <f aca="false">IF(GX21="",HC21,0)</f>
        <v>0.25</v>
      </c>
      <c r="HG21" s="50" t="n">
        <f aca="false">IF(HF21=0,0,HC21/SUM(HF$21:HF$24))</f>
        <v>0.25</v>
      </c>
      <c r="HH21" s="62"/>
      <c r="HI21" s="62"/>
      <c r="HJ21" s="62"/>
      <c r="HK21" s="62"/>
      <c r="HL21" s="45" t="str">
        <f aca="false">(IF(HO21="","◄",""))</f>
        <v>◄</v>
      </c>
      <c r="HM21" s="72" t="n">
        <v>0.25</v>
      </c>
      <c r="HN21" s="73" t="n">
        <f aca="false">(IF(HJ21&lt;&gt;"",1/2,0)+IF(HK21&lt;&gt;"",1,0))*HM21*HM$20*20</f>
        <v>0</v>
      </c>
      <c r="HO21" s="48" t="str">
        <f aca="false">IF(COUNTBLANK(HH21:HK21)=3,1,"")</f>
        <v/>
      </c>
      <c r="HP21" s="74" t="n">
        <f aca="false">IF(HH21="",HM21,0)</f>
        <v>0.25</v>
      </c>
      <c r="HQ21" s="50" t="n">
        <f aca="false">IF(HP21=0,0,HM21/SUM(HP$21:HP$24))</f>
        <v>0.25</v>
      </c>
      <c r="HR21" s="62"/>
      <c r="HS21" s="62"/>
      <c r="HT21" s="62"/>
      <c r="HU21" s="62"/>
      <c r="HV21" s="45" t="str">
        <f aca="false">(IF(HY21="","◄",""))</f>
        <v>◄</v>
      </c>
      <c r="HW21" s="72" t="n">
        <v>0.25</v>
      </c>
      <c r="HX21" s="73" t="n">
        <f aca="false">(IF(HT21&lt;&gt;"",1/2,0)+IF(HU21&lt;&gt;"",1,0))*HW21*HW$20*20</f>
        <v>0</v>
      </c>
      <c r="HY21" s="48" t="str">
        <f aca="false">IF(COUNTBLANK(HR21:HU21)=3,1,"")</f>
        <v/>
      </c>
      <c r="HZ21" s="74" t="n">
        <f aca="false">IF(HR21="",HW21,0)</f>
        <v>0.25</v>
      </c>
      <c r="IA21" s="50" t="n">
        <f aca="false">IF(HZ21=0,0,HW21/SUM(HZ$21:HZ$24))</f>
        <v>0.25</v>
      </c>
      <c r="IB21" s="62"/>
      <c r="IC21" s="62"/>
      <c r="ID21" s="62"/>
      <c r="IE21" s="62"/>
      <c r="IF21" s="45" t="str">
        <f aca="false">(IF(II21="","◄",""))</f>
        <v>◄</v>
      </c>
      <c r="IG21" s="72" t="n">
        <v>0.25</v>
      </c>
      <c r="IH21" s="73" t="n">
        <f aca="false">(IF(ID21&lt;&gt;"",1/2,0)+IF(IE21&lt;&gt;"",1,0))*IG21*IG$20*20</f>
        <v>0</v>
      </c>
      <c r="II21" s="48" t="str">
        <f aca="false">IF(COUNTBLANK(IB21:IE21)=3,1,"")</f>
        <v/>
      </c>
      <c r="IJ21" s="74" t="n">
        <f aca="false">IF(IB21="",IG21,0)</f>
        <v>0.25</v>
      </c>
      <c r="IK21" s="50" t="n">
        <f aca="false">IF(IJ21=0,0,IG21/SUM(IJ$21:IJ$24))</f>
        <v>0.25</v>
      </c>
    </row>
    <row r="22" customFormat="false" ht="49.5" hidden="false" customHeight="true" outlineLevel="0" collapsed="false">
      <c r="A22" s="39" t="n">
        <v>19</v>
      </c>
      <c r="B22" s="40" t="s">
        <v>58</v>
      </c>
      <c r="C22" s="63" t="n">
        <f aca="false">$GF$43</f>
        <v>0</v>
      </c>
      <c r="D22" s="71"/>
      <c r="E22" s="53" t="s">
        <v>59</v>
      </c>
      <c r="F22" s="62"/>
      <c r="G22" s="62"/>
      <c r="H22" s="62"/>
      <c r="I22" s="62"/>
      <c r="J22" s="45" t="str">
        <f aca="false">(IF(M22="","◄",""))</f>
        <v>◄</v>
      </c>
      <c r="K22" s="72" t="n">
        <v>0.25</v>
      </c>
      <c r="L22" s="73" t="n">
        <f aca="false">(IF(H22&lt;&gt;"",1/2,0)+IF(I22&lt;&gt;"",1,0))*K22*K$20*20</f>
        <v>0</v>
      </c>
      <c r="M22" s="48" t="str">
        <f aca="false">IF(COUNTBLANK(F22:I22)=3,1,"")</f>
        <v/>
      </c>
      <c r="N22" s="74" t="n">
        <f aca="false">IF(F22="",K22,0)</f>
        <v>0.25</v>
      </c>
      <c r="O22" s="50" t="n">
        <f aca="false">IF(N22=0,0,K22/SUM(N$21:N$24))</f>
        <v>0.25</v>
      </c>
      <c r="P22" s="62"/>
      <c r="Q22" s="62"/>
      <c r="R22" s="62"/>
      <c r="S22" s="62"/>
      <c r="T22" s="45" t="str">
        <f aca="false">(IF(W22="","◄",""))</f>
        <v>◄</v>
      </c>
      <c r="U22" s="72" t="n">
        <v>0.25</v>
      </c>
      <c r="V22" s="73" t="n">
        <f aca="false">(IF(R22&lt;&gt;"",1/2,0)+IF(S22&lt;&gt;"",1,0))*U22*U$20*20</f>
        <v>0</v>
      </c>
      <c r="W22" s="48" t="str">
        <f aca="false">IF(COUNTBLANK(P22:S22)=3,1,"")</f>
        <v/>
      </c>
      <c r="X22" s="74" t="n">
        <f aca="false">IF(P22="",U22,0)</f>
        <v>0.25</v>
      </c>
      <c r="Y22" s="50" t="n">
        <f aca="false">IF(X22=0,0,U22/SUM(X$21:X$24))</f>
        <v>0.25</v>
      </c>
      <c r="Z22" s="62"/>
      <c r="AA22" s="62"/>
      <c r="AB22" s="62"/>
      <c r="AC22" s="62"/>
      <c r="AD22" s="45" t="str">
        <f aca="false">(IF(AG22="","◄",""))</f>
        <v>◄</v>
      </c>
      <c r="AE22" s="72" t="n">
        <v>0.25</v>
      </c>
      <c r="AF22" s="73" t="n">
        <f aca="false">(IF(AB22&lt;&gt;"",1/2,0)+IF(AC22&lt;&gt;"",1,0))*AE22*AE$20*20</f>
        <v>0</v>
      </c>
      <c r="AG22" s="48" t="str">
        <f aca="false">IF(COUNTBLANK(Z22:AC22)=3,1,"")</f>
        <v/>
      </c>
      <c r="AH22" s="74" t="n">
        <f aca="false">IF(Z22="",AE22,0)</f>
        <v>0.25</v>
      </c>
      <c r="AI22" s="50" t="n">
        <f aca="false">IF(AH22=0,0,AE22/SUM(AH$21:AH$24))</f>
        <v>0.25</v>
      </c>
      <c r="AJ22" s="62"/>
      <c r="AK22" s="62"/>
      <c r="AL22" s="62"/>
      <c r="AM22" s="62"/>
      <c r="AN22" s="45" t="str">
        <f aca="false">(IF(AQ22="","◄",""))</f>
        <v>◄</v>
      </c>
      <c r="AO22" s="72" t="n">
        <v>0.25</v>
      </c>
      <c r="AP22" s="73" t="n">
        <f aca="false">(IF(AL22&lt;&gt;"",1/2,0)+IF(AM22&lt;&gt;"",1,0))*AO22*AO$20*20</f>
        <v>0</v>
      </c>
      <c r="AQ22" s="48" t="str">
        <f aca="false">IF(COUNTBLANK(AJ22:AM22)=3,1,"")</f>
        <v/>
      </c>
      <c r="AR22" s="74" t="n">
        <f aca="false">IF(AJ22="",AO22,0)</f>
        <v>0.25</v>
      </c>
      <c r="AS22" s="50" t="n">
        <f aca="false">IF(AR22=0,0,AO22/SUM(AR$21:AR$24))</f>
        <v>0.25</v>
      </c>
      <c r="AT22" s="62"/>
      <c r="AU22" s="62"/>
      <c r="AV22" s="62"/>
      <c r="AW22" s="62"/>
      <c r="AX22" s="45" t="str">
        <f aca="false">(IF(BA22="","◄",""))</f>
        <v>◄</v>
      </c>
      <c r="AY22" s="72" t="n">
        <v>0.25</v>
      </c>
      <c r="AZ22" s="73" t="n">
        <f aca="false">(IF(AV22&lt;&gt;"",1/2,0)+IF(AW22&lt;&gt;"",1,0))*AY22*AY$20*20</f>
        <v>0</v>
      </c>
      <c r="BA22" s="48" t="str">
        <f aca="false">IF(COUNTBLANK(AT22:AW22)=3,1,"")</f>
        <v/>
      </c>
      <c r="BB22" s="74" t="n">
        <f aca="false">IF(AT22="",AY22,0)</f>
        <v>0.25</v>
      </c>
      <c r="BC22" s="50" t="n">
        <f aca="false">IF(BB22=0,0,AY22/SUM(BB$21:BB$24))</f>
        <v>0.25</v>
      </c>
      <c r="BD22" s="62"/>
      <c r="BE22" s="62"/>
      <c r="BF22" s="62"/>
      <c r="BG22" s="62"/>
      <c r="BH22" s="45" t="str">
        <f aca="false">(IF(BK22="","◄",""))</f>
        <v>◄</v>
      </c>
      <c r="BI22" s="72" t="n">
        <v>0.25</v>
      </c>
      <c r="BJ22" s="73" t="n">
        <f aca="false">(IF(BF22&lt;&gt;"",1/2,0)+IF(BG22&lt;&gt;"",1,0))*BI22*BI$20*20</f>
        <v>0</v>
      </c>
      <c r="BK22" s="48" t="str">
        <f aca="false">IF(COUNTBLANK(BD22:BG22)=3,1,"")</f>
        <v/>
      </c>
      <c r="BL22" s="74" t="n">
        <f aca="false">IF(BD22="",BI22,0)</f>
        <v>0.25</v>
      </c>
      <c r="BM22" s="50" t="n">
        <f aca="false">IF(BL22=0,0,BI22/SUM(BL$21:BL$24))</f>
        <v>0.25</v>
      </c>
      <c r="BN22" s="62"/>
      <c r="BO22" s="62"/>
      <c r="BP22" s="62"/>
      <c r="BQ22" s="62"/>
      <c r="BR22" s="45" t="str">
        <f aca="false">(IF(BU22="","◄",""))</f>
        <v>◄</v>
      </c>
      <c r="BS22" s="72" t="n">
        <v>0.25</v>
      </c>
      <c r="BT22" s="73" t="n">
        <f aca="false">(IF(BP22&lt;&gt;"",1/2,0)+IF(BQ22&lt;&gt;"",1,0))*BS22*BS$20*20</f>
        <v>0</v>
      </c>
      <c r="BU22" s="48" t="str">
        <f aca="false">IF(COUNTBLANK(BN22:BQ22)=3,1,"")</f>
        <v/>
      </c>
      <c r="BV22" s="74" t="n">
        <f aca="false">IF(BN22="",BS22,0)</f>
        <v>0.25</v>
      </c>
      <c r="BW22" s="50" t="n">
        <f aca="false">IF(BV22=0,0,BS22/SUM(BV$21:BV$24))</f>
        <v>0.25</v>
      </c>
      <c r="BX22" s="62"/>
      <c r="BY22" s="62"/>
      <c r="BZ22" s="62"/>
      <c r="CA22" s="62"/>
      <c r="CB22" s="45" t="str">
        <f aca="false">(IF(CE22="","◄",""))</f>
        <v>◄</v>
      </c>
      <c r="CC22" s="72" t="n">
        <v>0.25</v>
      </c>
      <c r="CD22" s="73" t="n">
        <f aca="false">(IF(BZ22&lt;&gt;"",1/2,0)+IF(CA22&lt;&gt;"",1,0))*CC22*CC$20*20</f>
        <v>0</v>
      </c>
      <c r="CE22" s="48" t="str">
        <f aca="false">IF(COUNTBLANK(BX22:CA22)=3,1,"")</f>
        <v/>
      </c>
      <c r="CF22" s="74" t="n">
        <f aca="false">IF(BX22="",CC22,0)</f>
        <v>0.25</v>
      </c>
      <c r="CG22" s="50" t="n">
        <f aca="false">IF(CF22=0,0,CC22/SUM(CF$21:CF$24))</f>
        <v>0.25</v>
      </c>
      <c r="CH22" s="62"/>
      <c r="CI22" s="62"/>
      <c r="CJ22" s="62"/>
      <c r="CK22" s="62"/>
      <c r="CL22" s="45" t="str">
        <f aca="false">(IF(CO22="","◄",""))</f>
        <v>◄</v>
      </c>
      <c r="CM22" s="72" t="n">
        <v>0.25</v>
      </c>
      <c r="CN22" s="73" t="n">
        <f aca="false">(IF(CJ22&lt;&gt;"",1/2,0)+IF(CK22&lt;&gt;"",1,0))*CM22*CM$20*20</f>
        <v>0</v>
      </c>
      <c r="CO22" s="48" t="str">
        <f aca="false">IF(COUNTBLANK(CH22:CK22)=3,1,"")</f>
        <v/>
      </c>
      <c r="CP22" s="74" t="n">
        <f aca="false">IF(CH22="",CM22,0)</f>
        <v>0.25</v>
      </c>
      <c r="CQ22" s="50" t="n">
        <f aca="false">IF(CP22=0,0,CM22/SUM(CP$21:CP$24))</f>
        <v>0.25</v>
      </c>
      <c r="CR22" s="62"/>
      <c r="CS22" s="62"/>
      <c r="CT22" s="62"/>
      <c r="CU22" s="62"/>
      <c r="CV22" s="45" t="str">
        <f aca="false">(IF(CY22="","◄",""))</f>
        <v>◄</v>
      </c>
      <c r="CW22" s="72" t="n">
        <v>0.25</v>
      </c>
      <c r="CX22" s="73" t="n">
        <f aca="false">(IF(CT22&lt;&gt;"",1/2,0)+IF(CU22&lt;&gt;"",1,0))*CW22*CW$20*20</f>
        <v>0</v>
      </c>
      <c r="CY22" s="48" t="str">
        <f aca="false">IF(COUNTBLANK(CR22:CU22)=3,1,"")</f>
        <v/>
      </c>
      <c r="CZ22" s="74" t="n">
        <f aca="false">IF(CR22="",CW22,0)</f>
        <v>0.25</v>
      </c>
      <c r="DA22" s="50" t="n">
        <f aca="false">IF(CZ22=0,0,CW22/SUM(CZ$21:CZ$24))</f>
        <v>0.25</v>
      </c>
      <c r="DB22" s="62"/>
      <c r="DC22" s="62"/>
      <c r="DD22" s="62"/>
      <c r="DE22" s="62"/>
      <c r="DF22" s="45" t="str">
        <f aca="false">(IF(DI22="","◄",""))</f>
        <v>◄</v>
      </c>
      <c r="DG22" s="72" t="n">
        <v>0.25</v>
      </c>
      <c r="DH22" s="73" t="n">
        <f aca="false">(IF(DD22&lt;&gt;"",1/2,0)+IF(DE22&lt;&gt;"",1,0))*DG22*DG$20*20</f>
        <v>0</v>
      </c>
      <c r="DI22" s="48" t="str">
        <f aca="false">IF(COUNTBLANK(DB22:DE22)=3,1,"")</f>
        <v/>
      </c>
      <c r="DJ22" s="74" t="n">
        <f aca="false">IF(DB22="",DG22,0)</f>
        <v>0.25</v>
      </c>
      <c r="DK22" s="50" t="n">
        <f aca="false">IF(DJ22=0,0,DG22/SUM(DJ$21:DJ$24))</f>
        <v>0.25</v>
      </c>
      <c r="DL22" s="62"/>
      <c r="DM22" s="62"/>
      <c r="DN22" s="62"/>
      <c r="DO22" s="62"/>
      <c r="DP22" s="45" t="str">
        <f aca="false">(IF(DS22="","◄",""))</f>
        <v>◄</v>
      </c>
      <c r="DQ22" s="72" t="n">
        <v>0.25</v>
      </c>
      <c r="DR22" s="73" t="n">
        <f aca="false">(IF(DN22&lt;&gt;"",1/2,0)+IF(DO22&lt;&gt;"",1,0))*DQ22*DQ$20*20</f>
        <v>0</v>
      </c>
      <c r="DS22" s="48" t="str">
        <f aca="false">IF(COUNTBLANK(DL22:DO22)=3,1,"")</f>
        <v/>
      </c>
      <c r="DT22" s="74" t="n">
        <f aca="false">IF(DL22="",DQ22,0)</f>
        <v>0.25</v>
      </c>
      <c r="DU22" s="50" t="n">
        <f aca="false">IF(DT22=0,0,DQ22/SUM(DT$21:DT$24))</f>
        <v>0.25</v>
      </c>
      <c r="DV22" s="62"/>
      <c r="DW22" s="62"/>
      <c r="DX22" s="62"/>
      <c r="DY22" s="62"/>
      <c r="DZ22" s="45" t="str">
        <f aca="false">(IF(EC22="","◄",""))</f>
        <v>◄</v>
      </c>
      <c r="EA22" s="72" t="n">
        <v>0.25</v>
      </c>
      <c r="EB22" s="73" t="n">
        <f aca="false">(IF(DX22&lt;&gt;"",1/2,0)+IF(DY22&lt;&gt;"",1,0))*EA22*EA$20*20</f>
        <v>0</v>
      </c>
      <c r="EC22" s="48" t="str">
        <f aca="false">IF(COUNTBLANK(DV22:DY22)=3,1,"")</f>
        <v/>
      </c>
      <c r="ED22" s="74" t="n">
        <f aca="false">IF(DV22="",EA22,0)</f>
        <v>0.25</v>
      </c>
      <c r="EE22" s="50" t="n">
        <f aca="false">IF(ED22=0,0,EA22/SUM(ED$21:ED$24))</f>
        <v>0.25</v>
      </c>
      <c r="EF22" s="62"/>
      <c r="EG22" s="62"/>
      <c r="EH22" s="62"/>
      <c r="EI22" s="62"/>
      <c r="EJ22" s="45" t="str">
        <f aca="false">(IF(EM22="","◄",""))</f>
        <v>◄</v>
      </c>
      <c r="EK22" s="72" t="n">
        <v>0.25</v>
      </c>
      <c r="EL22" s="73" t="n">
        <f aca="false">(IF(EH22&lt;&gt;"",1/2,0)+IF(EI22&lt;&gt;"",1,0))*EK22*EK$20*20</f>
        <v>0</v>
      </c>
      <c r="EM22" s="48" t="str">
        <f aca="false">IF(COUNTBLANK(EF22:EI22)=3,1,"")</f>
        <v/>
      </c>
      <c r="EN22" s="74" t="n">
        <f aca="false">IF(EF22="",EK22,0)</f>
        <v>0.25</v>
      </c>
      <c r="EO22" s="50" t="n">
        <f aca="false">IF(EN22=0,0,EK22/SUM(EN$21:EN$24))</f>
        <v>0.25</v>
      </c>
      <c r="EP22" s="62"/>
      <c r="EQ22" s="62"/>
      <c r="ER22" s="62"/>
      <c r="ES22" s="62"/>
      <c r="ET22" s="45" t="str">
        <f aca="false">(IF(EW22="","◄",""))</f>
        <v>◄</v>
      </c>
      <c r="EU22" s="72" t="n">
        <v>0.25</v>
      </c>
      <c r="EV22" s="73" t="n">
        <f aca="false">(IF(ER22&lt;&gt;"",1/2,0)+IF(ES22&lt;&gt;"",1,0))*EU22*EU$20*20</f>
        <v>0</v>
      </c>
      <c r="EW22" s="48" t="str">
        <f aca="false">IF(COUNTBLANK(EP22:ES22)=3,1,"")</f>
        <v/>
      </c>
      <c r="EX22" s="74" t="n">
        <f aca="false">IF(EP22="",EU22,0)</f>
        <v>0.25</v>
      </c>
      <c r="EY22" s="50" t="n">
        <f aca="false">IF(EX22=0,0,EU22/SUM(EX$21:EX$24))</f>
        <v>0.25</v>
      </c>
      <c r="EZ22" s="62"/>
      <c r="FA22" s="62"/>
      <c r="FB22" s="62"/>
      <c r="FC22" s="62"/>
      <c r="FD22" s="45" t="str">
        <f aca="false">(IF(FG22="","◄",""))</f>
        <v>◄</v>
      </c>
      <c r="FE22" s="72" t="n">
        <v>0.25</v>
      </c>
      <c r="FF22" s="73" t="n">
        <f aca="false">(IF(FB22&lt;&gt;"",1/2,0)+IF(FC22&lt;&gt;"",1,0))*FE22*FE$20*20</f>
        <v>0</v>
      </c>
      <c r="FG22" s="48" t="str">
        <f aca="false">IF(COUNTBLANK(EZ22:FC22)=3,1,"")</f>
        <v/>
      </c>
      <c r="FH22" s="74" t="n">
        <f aca="false">IF(EZ22="",FE22,0)</f>
        <v>0.25</v>
      </c>
      <c r="FI22" s="50" t="n">
        <f aca="false">IF(FH22=0,0,FE22/SUM(FH$21:FH$24))</f>
        <v>0.25</v>
      </c>
      <c r="FJ22" s="62"/>
      <c r="FK22" s="62"/>
      <c r="FL22" s="62"/>
      <c r="FM22" s="62"/>
      <c r="FN22" s="45" t="str">
        <f aca="false">(IF(FQ22="","◄",""))</f>
        <v>◄</v>
      </c>
      <c r="FO22" s="72" t="n">
        <v>0.25</v>
      </c>
      <c r="FP22" s="73" t="n">
        <f aca="false">(IF(FL22&lt;&gt;"",1/2,0)+IF(FM22&lt;&gt;"",1,0))*FO22*FO$20*20</f>
        <v>0</v>
      </c>
      <c r="FQ22" s="48" t="str">
        <f aca="false">IF(COUNTBLANK(FJ22:FM22)=3,1,"")</f>
        <v/>
      </c>
      <c r="FR22" s="74" t="n">
        <f aca="false">IF(FJ22="",FO22,0)</f>
        <v>0.25</v>
      </c>
      <c r="FS22" s="50" t="n">
        <f aca="false">IF(FR22=0,0,FO22/SUM(FR$21:FR$24))</f>
        <v>0.25</v>
      </c>
      <c r="FT22" s="62"/>
      <c r="FU22" s="62"/>
      <c r="FV22" s="62"/>
      <c r="FW22" s="62"/>
      <c r="FX22" s="45" t="str">
        <f aca="false">(IF(GA22="","◄",""))</f>
        <v>◄</v>
      </c>
      <c r="FY22" s="72" t="n">
        <v>0.25</v>
      </c>
      <c r="FZ22" s="73" t="n">
        <f aca="false">(IF(FV22&lt;&gt;"",1/2,0)+IF(FW22&lt;&gt;"",1,0))*FY22*FY$20*20</f>
        <v>0</v>
      </c>
      <c r="GA22" s="48" t="str">
        <f aca="false">IF(COUNTBLANK(FT22:FW22)=3,1,"")</f>
        <v/>
      </c>
      <c r="GB22" s="74" t="n">
        <f aca="false">IF(FT22="",FY22,0)</f>
        <v>0.25</v>
      </c>
      <c r="GC22" s="50" t="n">
        <f aca="false">IF(GB22=0,0,FY22/SUM(GB$21:GB$24))</f>
        <v>0.25</v>
      </c>
      <c r="GD22" s="62"/>
      <c r="GE22" s="62"/>
      <c r="GF22" s="62"/>
      <c r="GG22" s="62"/>
      <c r="GH22" s="45" t="str">
        <f aca="false">(IF(GK22="","◄",""))</f>
        <v>◄</v>
      </c>
      <c r="GI22" s="72" t="n">
        <v>0.25</v>
      </c>
      <c r="GJ22" s="73" t="n">
        <f aca="false">(IF(GF22&lt;&gt;"",1/2,0)+IF(GG22&lt;&gt;"",1,0))*GI22*GI$20*20</f>
        <v>0</v>
      </c>
      <c r="GK22" s="48" t="str">
        <f aca="false">IF(COUNTBLANK(GD22:GG22)=3,1,"")</f>
        <v/>
      </c>
      <c r="GL22" s="74" t="n">
        <f aca="false">IF(GD22="",GI22,0)</f>
        <v>0.25</v>
      </c>
      <c r="GM22" s="50" t="n">
        <f aca="false">IF(GL22=0,0,GI22/SUM(GL$21:GL$24))</f>
        <v>0.25</v>
      </c>
      <c r="GN22" s="62"/>
      <c r="GO22" s="62"/>
      <c r="GP22" s="62"/>
      <c r="GQ22" s="62"/>
      <c r="GR22" s="45" t="str">
        <f aca="false">(IF(GU22="","◄",""))</f>
        <v>◄</v>
      </c>
      <c r="GS22" s="72" t="n">
        <v>0.25</v>
      </c>
      <c r="GT22" s="73" t="n">
        <f aca="false">(IF(GP22&lt;&gt;"",1/2,0)+IF(GQ22&lt;&gt;"",1,0))*GS22*GS$20*20</f>
        <v>0</v>
      </c>
      <c r="GU22" s="48" t="str">
        <f aca="false">IF(COUNTBLANK(GN22:GQ22)=3,1,"")</f>
        <v/>
      </c>
      <c r="GV22" s="74" t="n">
        <f aca="false">IF(GN22="",GS22,0)</f>
        <v>0.25</v>
      </c>
      <c r="GW22" s="50" t="n">
        <f aca="false">IF(GV22=0,0,GS22/SUM(GV$21:GV$24))</f>
        <v>0.25</v>
      </c>
      <c r="GX22" s="62"/>
      <c r="GY22" s="62"/>
      <c r="GZ22" s="62"/>
      <c r="HA22" s="62"/>
      <c r="HB22" s="45" t="str">
        <f aca="false">(IF(HE22="","◄",""))</f>
        <v>◄</v>
      </c>
      <c r="HC22" s="72" t="n">
        <v>0.25</v>
      </c>
      <c r="HD22" s="73" t="n">
        <f aca="false">(IF(GZ22&lt;&gt;"",1/2,0)+IF(HA22&lt;&gt;"",1,0))*HC22*HC$20*20</f>
        <v>0</v>
      </c>
      <c r="HE22" s="48" t="str">
        <f aca="false">IF(COUNTBLANK(GX22:HA22)=3,1,"")</f>
        <v/>
      </c>
      <c r="HF22" s="74" t="n">
        <f aca="false">IF(GX22="",HC22,0)</f>
        <v>0.25</v>
      </c>
      <c r="HG22" s="50" t="n">
        <f aca="false">IF(HF22=0,0,HC22/SUM(HF$21:HF$24))</f>
        <v>0.25</v>
      </c>
      <c r="HH22" s="62"/>
      <c r="HI22" s="62"/>
      <c r="HJ22" s="62"/>
      <c r="HK22" s="62"/>
      <c r="HL22" s="45" t="str">
        <f aca="false">(IF(HO22="","◄",""))</f>
        <v>◄</v>
      </c>
      <c r="HM22" s="72" t="n">
        <v>0.25</v>
      </c>
      <c r="HN22" s="73" t="n">
        <f aca="false">(IF(HJ22&lt;&gt;"",1/2,0)+IF(HK22&lt;&gt;"",1,0))*HM22*HM$20*20</f>
        <v>0</v>
      </c>
      <c r="HO22" s="48" t="str">
        <f aca="false">IF(COUNTBLANK(HH22:HK22)=3,1,"")</f>
        <v/>
      </c>
      <c r="HP22" s="74" t="n">
        <f aca="false">IF(HH22="",HM22,0)</f>
        <v>0.25</v>
      </c>
      <c r="HQ22" s="50" t="n">
        <f aca="false">IF(HP22=0,0,HM22/SUM(HP$21:HP$24))</f>
        <v>0.25</v>
      </c>
      <c r="HR22" s="62"/>
      <c r="HS22" s="62"/>
      <c r="HT22" s="62"/>
      <c r="HU22" s="62"/>
      <c r="HV22" s="45" t="str">
        <f aca="false">(IF(HY22="","◄",""))</f>
        <v>◄</v>
      </c>
      <c r="HW22" s="72" t="n">
        <v>0.25</v>
      </c>
      <c r="HX22" s="73" t="n">
        <f aca="false">(IF(HT22&lt;&gt;"",1/2,0)+IF(HU22&lt;&gt;"",1,0))*HW22*HW$20*20</f>
        <v>0</v>
      </c>
      <c r="HY22" s="48" t="str">
        <f aca="false">IF(COUNTBLANK(HR22:HU22)=3,1,"")</f>
        <v/>
      </c>
      <c r="HZ22" s="74" t="n">
        <f aca="false">IF(HR22="",HW22,0)</f>
        <v>0.25</v>
      </c>
      <c r="IA22" s="50" t="n">
        <f aca="false">IF(HZ22=0,0,HW22/SUM(HZ$21:HZ$24))</f>
        <v>0.25</v>
      </c>
      <c r="IB22" s="62"/>
      <c r="IC22" s="62"/>
      <c r="ID22" s="62"/>
      <c r="IE22" s="62"/>
      <c r="IF22" s="45" t="str">
        <f aca="false">(IF(II22="","◄",""))</f>
        <v>◄</v>
      </c>
      <c r="IG22" s="72" t="n">
        <v>0.25</v>
      </c>
      <c r="IH22" s="73" t="n">
        <f aca="false">(IF(ID22&lt;&gt;"",1/2,0)+IF(IE22&lt;&gt;"",1,0))*IG22*IG$20*20</f>
        <v>0</v>
      </c>
      <c r="II22" s="48" t="str">
        <f aca="false">IF(COUNTBLANK(IB22:IE22)=3,1,"")</f>
        <v/>
      </c>
      <c r="IJ22" s="74" t="n">
        <f aca="false">IF(IB22="",IG22,0)</f>
        <v>0.25</v>
      </c>
      <c r="IK22" s="50" t="n">
        <f aca="false">IF(IJ22=0,0,IG22/SUM(IJ$21:IJ$24))</f>
        <v>0.25</v>
      </c>
    </row>
    <row r="23" customFormat="false" ht="49.5" hidden="false" customHeight="true" outlineLevel="0" collapsed="false">
      <c r="A23" s="39" t="n">
        <v>20</v>
      </c>
      <c r="B23" s="40" t="s">
        <v>60</v>
      </c>
      <c r="C23" s="63" t="n">
        <f aca="false">$GP$43</f>
        <v>0</v>
      </c>
      <c r="D23" s="54" t="s">
        <v>61</v>
      </c>
      <c r="E23" s="75" t="s">
        <v>62</v>
      </c>
      <c r="F23" s="62"/>
      <c r="G23" s="62"/>
      <c r="H23" s="62"/>
      <c r="I23" s="62"/>
      <c r="J23" s="45" t="str">
        <f aca="false">(IF(M23="","◄",""))</f>
        <v>◄</v>
      </c>
      <c r="K23" s="72" t="n">
        <v>0.25</v>
      </c>
      <c r="L23" s="73" t="n">
        <f aca="false">(IF(H23&lt;&gt;"",1/2,0)+IF(I23&lt;&gt;"",1,0))*K23*K$20*20</f>
        <v>0</v>
      </c>
      <c r="M23" s="48" t="str">
        <f aca="false">IF(COUNTBLANK(F23:I23)=3,1,"")</f>
        <v/>
      </c>
      <c r="N23" s="74" t="n">
        <f aca="false">IF(F23="",K23,0)</f>
        <v>0.25</v>
      </c>
      <c r="O23" s="50" t="n">
        <f aca="false">IF(N23=0,0,K23/SUM(N$21:N$24))</f>
        <v>0.25</v>
      </c>
      <c r="P23" s="62"/>
      <c r="Q23" s="62"/>
      <c r="R23" s="62"/>
      <c r="S23" s="62"/>
      <c r="T23" s="45" t="str">
        <f aca="false">(IF(W23="","◄",""))</f>
        <v>◄</v>
      </c>
      <c r="U23" s="72" t="n">
        <v>0.25</v>
      </c>
      <c r="V23" s="73" t="n">
        <f aca="false">(IF(R23&lt;&gt;"",1/2,0)+IF(S23&lt;&gt;"",1,0))*U23*U$20*20</f>
        <v>0</v>
      </c>
      <c r="W23" s="48" t="str">
        <f aca="false">IF(COUNTBLANK(P23:S23)=3,1,"")</f>
        <v/>
      </c>
      <c r="X23" s="74" t="n">
        <f aca="false">IF(P23="",U23,0)</f>
        <v>0.25</v>
      </c>
      <c r="Y23" s="50" t="n">
        <f aca="false">IF(X23=0,0,U23/SUM(X$21:X$24))</f>
        <v>0.25</v>
      </c>
      <c r="Z23" s="62"/>
      <c r="AA23" s="62"/>
      <c r="AB23" s="62"/>
      <c r="AC23" s="62"/>
      <c r="AD23" s="45" t="str">
        <f aca="false">(IF(AG23="","◄",""))</f>
        <v>◄</v>
      </c>
      <c r="AE23" s="72" t="n">
        <v>0.25</v>
      </c>
      <c r="AF23" s="73" t="n">
        <f aca="false">(IF(AB23&lt;&gt;"",1/2,0)+IF(AC23&lt;&gt;"",1,0))*AE23*AE$20*20</f>
        <v>0</v>
      </c>
      <c r="AG23" s="48" t="str">
        <f aca="false">IF(COUNTBLANK(Z23:AC23)=3,1,"")</f>
        <v/>
      </c>
      <c r="AH23" s="74" t="n">
        <f aca="false">IF(Z23="",AE23,0)</f>
        <v>0.25</v>
      </c>
      <c r="AI23" s="50" t="n">
        <f aca="false">IF(AH23=0,0,AE23/SUM(AH$21:AH$24))</f>
        <v>0.25</v>
      </c>
      <c r="AJ23" s="62"/>
      <c r="AK23" s="62"/>
      <c r="AL23" s="62"/>
      <c r="AM23" s="62"/>
      <c r="AN23" s="45" t="str">
        <f aca="false">(IF(AQ23="","◄",""))</f>
        <v>◄</v>
      </c>
      <c r="AO23" s="72" t="n">
        <v>0.25</v>
      </c>
      <c r="AP23" s="73" t="n">
        <f aca="false">(IF(AL23&lt;&gt;"",1/2,0)+IF(AM23&lt;&gt;"",1,0))*AO23*AO$20*20</f>
        <v>0</v>
      </c>
      <c r="AQ23" s="48" t="str">
        <f aca="false">IF(COUNTBLANK(AJ23:AM23)=3,1,"")</f>
        <v/>
      </c>
      <c r="AR23" s="74" t="n">
        <f aca="false">IF(AJ23="",AO23,0)</f>
        <v>0.25</v>
      </c>
      <c r="AS23" s="50" t="n">
        <f aca="false">IF(AR23=0,0,AO23/SUM(AR$21:AR$24))</f>
        <v>0.25</v>
      </c>
      <c r="AT23" s="62"/>
      <c r="AU23" s="62"/>
      <c r="AV23" s="62"/>
      <c r="AW23" s="62"/>
      <c r="AX23" s="45" t="str">
        <f aca="false">(IF(BA23="","◄",""))</f>
        <v>◄</v>
      </c>
      <c r="AY23" s="72" t="n">
        <v>0.25</v>
      </c>
      <c r="AZ23" s="73" t="n">
        <f aca="false">(IF(AV23&lt;&gt;"",1/2,0)+IF(AW23&lt;&gt;"",1,0))*AY23*AY$20*20</f>
        <v>0</v>
      </c>
      <c r="BA23" s="48" t="str">
        <f aca="false">IF(COUNTBLANK(AT23:AW23)=3,1,"")</f>
        <v/>
      </c>
      <c r="BB23" s="74" t="n">
        <f aca="false">IF(AT23="",AY23,0)</f>
        <v>0.25</v>
      </c>
      <c r="BC23" s="50" t="n">
        <f aca="false">IF(BB23=0,0,AY23/SUM(BB$21:BB$24))</f>
        <v>0.25</v>
      </c>
      <c r="BD23" s="62"/>
      <c r="BE23" s="62"/>
      <c r="BF23" s="62"/>
      <c r="BG23" s="62"/>
      <c r="BH23" s="45" t="str">
        <f aca="false">(IF(BK23="","◄",""))</f>
        <v>◄</v>
      </c>
      <c r="BI23" s="72" t="n">
        <v>0.25</v>
      </c>
      <c r="BJ23" s="73" t="n">
        <f aca="false">(IF(BF23&lt;&gt;"",1/2,0)+IF(BG23&lt;&gt;"",1,0))*BI23*BI$20*20</f>
        <v>0</v>
      </c>
      <c r="BK23" s="48" t="str">
        <f aca="false">IF(COUNTBLANK(BD23:BG23)=3,1,"")</f>
        <v/>
      </c>
      <c r="BL23" s="74" t="n">
        <f aca="false">IF(BD23="",BI23,0)</f>
        <v>0.25</v>
      </c>
      <c r="BM23" s="50" t="n">
        <f aca="false">IF(BL23=0,0,BI23/SUM(BL$21:BL$24))</f>
        <v>0.25</v>
      </c>
      <c r="BN23" s="62"/>
      <c r="BO23" s="62"/>
      <c r="BP23" s="62"/>
      <c r="BQ23" s="62"/>
      <c r="BR23" s="45" t="str">
        <f aca="false">(IF(BU23="","◄",""))</f>
        <v>◄</v>
      </c>
      <c r="BS23" s="72" t="n">
        <v>0.25</v>
      </c>
      <c r="BT23" s="73" t="n">
        <f aca="false">(IF(BP23&lt;&gt;"",1/2,0)+IF(BQ23&lt;&gt;"",1,0))*BS23*BS$20*20</f>
        <v>0</v>
      </c>
      <c r="BU23" s="48" t="str">
        <f aca="false">IF(COUNTBLANK(BN23:BQ23)=3,1,"")</f>
        <v/>
      </c>
      <c r="BV23" s="74" t="n">
        <f aca="false">IF(BN23="",BS23,0)</f>
        <v>0.25</v>
      </c>
      <c r="BW23" s="50" t="n">
        <f aca="false">IF(BV23=0,0,BS23/SUM(BV$21:BV$24))</f>
        <v>0.25</v>
      </c>
      <c r="BX23" s="62"/>
      <c r="BY23" s="62"/>
      <c r="BZ23" s="62"/>
      <c r="CA23" s="62"/>
      <c r="CB23" s="45" t="str">
        <f aca="false">(IF(CE23="","◄",""))</f>
        <v>◄</v>
      </c>
      <c r="CC23" s="72" t="n">
        <v>0.25</v>
      </c>
      <c r="CD23" s="73" t="n">
        <f aca="false">(IF(BZ23&lt;&gt;"",1/2,0)+IF(CA23&lt;&gt;"",1,0))*CC23*CC$20*20</f>
        <v>0</v>
      </c>
      <c r="CE23" s="48" t="str">
        <f aca="false">IF(COUNTBLANK(BX23:CA23)=3,1,"")</f>
        <v/>
      </c>
      <c r="CF23" s="74" t="n">
        <f aca="false">IF(BX23="",CC23,0)</f>
        <v>0.25</v>
      </c>
      <c r="CG23" s="50" t="n">
        <f aca="false">IF(CF23=0,0,CC23/SUM(CF$21:CF$24))</f>
        <v>0.25</v>
      </c>
      <c r="CH23" s="62"/>
      <c r="CI23" s="62"/>
      <c r="CJ23" s="62"/>
      <c r="CK23" s="62"/>
      <c r="CL23" s="45" t="str">
        <f aca="false">(IF(CO23="","◄",""))</f>
        <v>◄</v>
      </c>
      <c r="CM23" s="72" t="n">
        <v>0.25</v>
      </c>
      <c r="CN23" s="73" t="n">
        <f aca="false">(IF(CJ23&lt;&gt;"",1/2,0)+IF(CK23&lt;&gt;"",1,0))*CM23*CM$20*20</f>
        <v>0</v>
      </c>
      <c r="CO23" s="48" t="str">
        <f aca="false">IF(COUNTBLANK(CH23:CK23)=3,1,"")</f>
        <v/>
      </c>
      <c r="CP23" s="74" t="n">
        <f aca="false">IF(CH23="",CM23,0)</f>
        <v>0.25</v>
      </c>
      <c r="CQ23" s="50" t="n">
        <f aca="false">IF(CP23=0,0,CM23/SUM(CP$21:CP$24))</f>
        <v>0.25</v>
      </c>
      <c r="CR23" s="62"/>
      <c r="CS23" s="62"/>
      <c r="CT23" s="62"/>
      <c r="CU23" s="62"/>
      <c r="CV23" s="45" t="str">
        <f aca="false">(IF(CY23="","◄",""))</f>
        <v>◄</v>
      </c>
      <c r="CW23" s="72" t="n">
        <v>0.25</v>
      </c>
      <c r="CX23" s="73" t="n">
        <f aca="false">(IF(CT23&lt;&gt;"",1/2,0)+IF(CU23&lt;&gt;"",1,0))*CW23*CW$20*20</f>
        <v>0</v>
      </c>
      <c r="CY23" s="48" t="str">
        <f aca="false">IF(COUNTBLANK(CR23:CU23)=3,1,"")</f>
        <v/>
      </c>
      <c r="CZ23" s="74" t="n">
        <f aca="false">IF(CR23="",CW23,0)</f>
        <v>0.25</v>
      </c>
      <c r="DA23" s="50" t="n">
        <f aca="false">IF(CZ23=0,0,CW23/SUM(CZ$21:CZ$24))</f>
        <v>0.25</v>
      </c>
      <c r="DB23" s="62"/>
      <c r="DC23" s="62"/>
      <c r="DD23" s="62"/>
      <c r="DE23" s="62"/>
      <c r="DF23" s="45" t="str">
        <f aca="false">(IF(DI23="","◄",""))</f>
        <v>◄</v>
      </c>
      <c r="DG23" s="72" t="n">
        <v>0.25</v>
      </c>
      <c r="DH23" s="73" t="n">
        <f aca="false">(IF(DD23&lt;&gt;"",1/2,0)+IF(DE23&lt;&gt;"",1,0))*DG23*DG$20*20</f>
        <v>0</v>
      </c>
      <c r="DI23" s="48" t="str">
        <f aca="false">IF(COUNTBLANK(DB23:DE23)=3,1,"")</f>
        <v/>
      </c>
      <c r="DJ23" s="74" t="n">
        <f aca="false">IF(DB23="",DG23,0)</f>
        <v>0.25</v>
      </c>
      <c r="DK23" s="50" t="n">
        <f aca="false">IF(DJ23=0,0,DG23/SUM(DJ$21:DJ$24))</f>
        <v>0.25</v>
      </c>
      <c r="DL23" s="62"/>
      <c r="DM23" s="62"/>
      <c r="DN23" s="62"/>
      <c r="DO23" s="62"/>
      <c r="DP23" s="45" t="str">
        <f aca="false">(IF(DS23="","◄",""))</f>
        <v>◄</v>
      </c>
      <c r="DQ23" s="72" t="n">
        <v>0.25</v>
      </c>
      <c r="DR23" s="73" t="n">
        <f aca="false">(IF(DN23&lt;&gt;"",1/2,0)+IF(DO23&lt;&gt;"",1,0))*DQ23*DQ$20*20</f>
        <v>0</v>
      </c>
      <c r="DS23" s="48" t="str">
        <f aca="false">IF(COUNTBLANK(DL23:DO23)=3,1,"")</f>
        <v/>
      </c>
      <c r="DT23" s="74" t="n">
        <f aca="false">IF(DL23="",DQ23,0)</f>
        <v>0.25</v>
      </c>
      <c r="DU23" s="50" t="n">
        <f aca="false">IF(DT23=0,0,DQ23/SUM(DT$21:DT$24))</f>
        <v>0.25</v>
      </c>
      <c r="DV23" s="62"/>
      <c r="DW23" s="62"/>
      <c r="DX23" s="62"/>
      <c r="DY23" s="62"/>
      <c r="DZ23" s="45" t="str">
        <f aca="false">(IF(EC23="","◄",""))</f>
        <v>◄</v>
      </c>
      <c r="EA23" s="72" t="n">
        <v>0.25</v>
      </c>
      <c r="EB23" s="73" t="n">
        <f aca="false">(IF(DX23&lt;&gt;"",1/2,0)+IF(DY23&lt;&gt;"",1,0))*EA23*EA$20*20</f>
        <v>0</v>
      </c>
      <c r="EC23" s="48" t="str">
        <f aca="false">IF(COUNTBLANK(DV23:DY23)=3,1,"")</f>
        <v/>
      </c>
      <c r="ED23" s="74" t="n">
        <f aca="false">IF(DV23="",EA23,0)</f>
        <v>0.25</v>
      </c>
      <c r="EE23" s="50" t="n">
        <f aca="false">IF(ED23=0,0,EA23/SUM(ED$21:ED$24))</f>
        <v>0.25</v>
      </c>
      <c r="EF23" s="62"/>
      <c r="EG23" s="62"/>
      <c r="EH23" s="62"/>
      <c r="EI23" s="62"/>
      <c r="EJ23" s="45" t="str">
        <f aca="false">(IF(EM23="","◄",""))</f>
        <v>◄</v>
      </c>
      <c r="EK23" s="72" t="n">
        <v>0.25</v>
      </c>
      <c r="EL23" s="73" t="n">
        <f aca="false">(IF(EH23&lt;&gt;"",1/2,0)+IF(EI23&lt;&gt;"",1,0))*EK23*EK$20*20</f>
        <v>0</v>
      </c>
      <c r="EM23" s="48" t="str">
        <f aca="false">IF(COUNTBLANK(EF23:EI23)=3,1,"")</f>
        <v/>
      </c>
      <c r="EN23" s="74" t="n">
        <f aca="false">IF(EF23="",EK23,0)</f>
        <v>0.25</v>
      </c>
      <c r="EO23" s="50" t="n">
        <f aca="false">IF(EN23=0,0,EK23/SUM(EN$21:EN$24))</f>
        <v>0.25</v>
      </c>
      <c r="EP23" s="62"/>
      <c r="EQ23" s="62"/>
      <c r="ER23" s="62"/>
      <c r="ES23" s="62"/>
      <c r="ET23" s="45" t="str">
        <f aca="false">(IF(EW23="","◄",""))</f>
        <v>◄</v>
      </c>
      <c r="EU23" s="72" t="n">
        <v>0.25</v>
      </c>
      <c r="EV23" s="73" t="n">
        <f aca="false">(IF(ER23&lt;&gt;"",1/2,0)+IF(ES23&lt;&gt;"",1,0))*EU23*EU$20*20</f>
        <v>0</v>
      </c>
      <c r="EW23" s="48" t="str">
        <f aca="false">IF(COUNTBLANK(EP23:ES23)=3,1,"")</f>
        <v/>
      </c>
      <c r="EX23" s="74" t="n">
        <f aca="false">IF(EP23="",EU23,0)</f>
        <v>0.25</v>
      </c>
      <c r="EY23" s="50" t="n">
        <f aca="false">IF(EX23=0,0,EU23/SUM(EX$21:EX$24))</f>
        <v>0.25</v>
      </c>
      <c r="EZ23" s="62"/>
      <c r="FA23" s="62"/>
      <c r="FB23" s="62"/>
      <c r="FC23" s="62"/>
      <c r="FD23" s="45" t="str">
        <f aca="false">(IF(FG23="","◄",""))</f>
        <v>◄</v>
      </c>
      <c r="FE23" s="72" t="n">
        <v>0.25</v>
      </c>
      <c r="FF23" s="73" t="n">
        <f aca="false">(IF(FB23&lt;&gt;"",1/2,0)+IF(FC23&lt;&gt;"",1,0))*FE23*FE$20*20</f>
        <v>0</v>
      </c>
      <c r="FG23" s="48" t="str">
        <f aca="false">IF(COUNTBLANK(EZ23:FC23)=3,1,"")</f>
        <v/>
      </c>
      <c r="FH23" s="74" t="n">
        <f aca="false">IF(EZ23="",FE23,0)</f>
        <v>0.25</v>
      </c>
      <c r="FI23" s="50" t="n">
        <f aca="false">IF(FH23=0,0,FE23/SUM(FH$21:FH$24))</f>
        <v>0.25</v>
      </c>
      <c r="FJ23" s="62"/>
      <c r="FK23" s="62"/>
      <c r="FL23" s="62"/>
      <c r="FM23" s="62"/>
      <c r="FN23" s="45" t="str">
        <f aca="false">(IF(FQ23="","◄",""))</f>
        <v>◄</v>
      </c>
      <c r="FO23" s="72" t="n">
        <v>0.25</v>
      </c>
      <c r="FP23" s="73" t="n">
        <f aca="false">(IF(FL23&lt;&gt;"",1/2,0)+IF(FM23&lt;&gt;"",1,0))*FO23*FO$20*20</f>
        <v>0</v>
      </c>
      <c r="FQ23" s="48" t="str">
        <f aca="false">IF(COUNTBLANK(FJ23:FM23)=3,1,"")</f>
        <v/>
      </c>
      <c r="FR23" s="74" t="n">
        <f aca="false">IF(FJ23="",FO23,0)</f>
        <v>0.25</v>
      </c>
      <c r="FS23" s="50" t="n">
        <f aca="false">IF(FR23=0,0,FO23/SUM(FR$21:FR$24))</f>
        <v>0.25</v>
      </c>
      <c r="FT23" s="62"/>
      <c r="FU23" s="62"/>
      <c r="FV23" s="62"/>
      <c r="FW23" s="62"/>
      <c r="FX23" s="45" t="str">
        <f aca="false">(IF(GA23="","◄",""))</f>
        <v>◄</v>
      </c>
      <c r="FY23" s="72" t="n">
        <v>0.25</v>
      </c>
      <c r="FZ23" s="73" t="n">
        <f aca="false">(IF(FV23&lt;&gt;"",1/2,0)+IF(FW23&lt;&gt;"",1,0))*FY23*FY$20*20</f>
        <v>0</v>
      </c>
      <c r="GA23" s="48" t="str">
        <f aca="false">IF(COUNTBLANK(FT23:FW23)=3,1,"")</f>
        <v/>
      </c>
      <c r="GB23" s="74" t="n">
        <f aca="false">IF(FT23="",FY23,0)</f>
        <v>0.25</v>
      </c>
      <c r="GC23" s="50" t="n">
        <f aca="false">IF(GB23=0,0,FY23/SUM(GB$21:GB$24))</f>
        <v>0.25</v>
      </c>
      <c r="GD23" s="62"/>
      <c r="GE23" s="62"/>
      <c r="GF23" s="62"/>
      <c r="GG23" s="62"/>
      <c r="GH23" s="45" t="str">
        <f aca="false">(IF(GK23="","◄",""))</f>
        <v>◄</v>
      </c>
      <c r="GI23" s="72" t="n">
        <v>0.25</v>
      </c>
      <c r="GJ23" s="73" t="n">
        <f aca="false">(IF(GF23&lt;&gt;"",1/2,0)+IF(GG23&lt;&gt;"",1,0))*GI23*GI$20*20</f>
        <v>0</v>
      </c>
      <c r="GK23" s="48" t="str">
        <f aca="false">IF(COUNTBLANK(GD23:GG23)=3,1,"")</f>
        <v/>
      </c>
      <c r="GL23" s="74" t="n">
        <f aca="false">IF(GD23="",GI23,0)</f>
        <v>0.25</v>
      </c>
      <c r="GM23" s="50" t="n">
        <f aca="false">IF(GL23=0,0,GI23/SUM(GL$21:GL$24))</f>
        <v>0.25</v>
      </c>
      <c r="GN23" s="62"/>
      <c r="GO23" s="62"/>
      <c r="GP23" s="62"/>
      <c r="GQ23" s="62"/>
      <c r="GR23" s="45" t="str">
        <f aca="false">(IF(GU23="","◄",""))</f>
        <v>◄</v>
      </c>
      <c r="GS23" s="72" t="n">
        <v>0.25</v>
      </c>
      <c r="GT23" s="73" t="n">
        <f aca="false">(IF(GP23&lt;&gt;"",1/2,0)+IF(GQ23&lt;&gt;"",1,0))*GS23*GS$20*20</f>
        <v>0</v>
      </c>
      <c r="GU23" s="48" t="str">
        <f aca="false">IF(COUNTBLANK(GN23:GQ23)=3,1,"")</f>
        <v/>
      </c>
      <c r="GV23" s="74" t="n">
        <f aca="false">IF(GN23="",GS23,0)</f>
        <v>0.25</v>
      </c>
      <c r="GW23" s="50" t="n">
        <f aca="false">IF(GV23=0,0,GS23/SUM(GV$21:GV$24))</f>
        <v>0.25</v>
      </c>
      <c r="GX23" s="62"/>
      <c r="GY23" s="62"/>
      <c r="GZ23" s="62"/>
      <c r="HA23" s="62"/>
      <c r="HB23" s="45" t="str">
        <f aca="false">(IF(HE23="","◄",""))</f>
        <v>◄</v>
      </c>
      <c r="HC23" s="72" t="n">
        <v>0.25</v>
      </c>
      <c r="HD23" s="73" t="n">
        <f aca="false">(IF(GZ23&lt;&gt;"",1/2,0)+IF(HA23&lt;&gt;"",1,0))*HC23*HC$20*20</f>
        <v>0</v>
      </c>
      <c r="HE23" s="48" t="str">
        <f aca="false">IF(COUNTBLANK(GX23:HA23)=3,1,"")</f>
        <v/>
      </c>
      <c r="HF23" s="74" t="n">
        <f aca="false">IF(GX23="",HC23,0)</f>
        <v>0.25</v>
      </c>
      <c r="HG23" s="50" t="n">
        <f aca="false">IF(HF23=0,0,HC23/SUM(HF$21:HF$24))</f>
        <v>0.25</v>
      </c>
      <c r="HH23" s="62"/>
      <c r="HI23" s="62"/>
      <c r="HJ23" s="62"/>
      <c r="HK23" s="62"/>
      <c r="HL23" s="45" t="str">
        <f aca="false">(IF(HO23="","◄",""))</f>
        <v>◄</v>
      </c>
      <c r="HM23" s="72" t="n">
        <v>0.25</v>
      </c>
      <c r="HN23" s="73" t="n">
        <f aca="false">(IF(HJ23&lt;&gt;"",1/2,0)+IF(HK23&lt;&gt;"",1,0))*HM23*HM$20*20</f>
        <v>0</v>
      </c>
      <c r="HO23" s="48" t="str">
        <f aca="false">IF(COUNTBLANK(HH23:HK23)=3,1,"")</f>
        <v/>
      </c>
      <c r="HP23" s="74" t="n">
        <f aca="false">IF(HH23="",HM23,0)</f>
        <v>0.25</v>
      </c>
      <c r="HQ23" s="50" t="n">
        <f aca="false">IF(HP23=0,0,HM23/SUM(HP$21:HP$24))</f>
        <v>0.25</v>
      </c>
      <c r="HR23" s="62"/>
      <c r="HS23" s="62"/>
      <c r="HT23" s="62"/>
      <c r="HU23" s="62"/>
      <c r="HV23" s="45" t="str">
        <f aca="false">(IF(HY23="","◄",""))</f>
        <v>◄</v>
      </c>
      <c r="HW23" s="72" t="n">
        <v>0.25</v>
      </c>
      <c r="HX23" s="73" t="n">
        <f aca="false">(IF(HT23&lt;&gt;"",1/2,0)+IF(HU23&lt;&gt;"",1,0))*HW23*HW$20*20</f>
        <v>0</v>
      </c>
      <c r="HY23" s="48" t="str">
        <f aca="false">IF(COUNTBLANK(HR23:HU23)=3,1,"")</f>
        <v/>
      </c>
      <c r="HZ23" s="74" t="n">
        <f aca="false">IF(HR23="",HW23,0)</f>
        <v>0.25</v>
      </c>
      <c r="IA23" s="50" t="n">
        <f aca="false">IF(HZ23=0,0,HW23/SUM(HZ$21:HZ$24))</f>
        <v>0.25</v>
      </c>
      <c r="IB23" s="62"/>
      <c r="IC23" s="62"/>
      <c r="ID23" s="62"/>
      <c r="IE23" s="62"/>
      <c r="IF23" s="45" t="str">
        <f aca="false">(IF(II23="","◄",""))</f>
        <v>◄</v>
      </c>
      <c r="IG23" s="72" t="n">
        <v>0.25</v>
      </c>
      <c r="IH23" s="73" t="n">
        <f aca="false">(IF(ID23&lt;&gt;"",1/2,0)+IF(IE23&lt;&gt;"",1,0))*IG23*IG$20*20</f>
        <v>0</v>
      </c>
      <c r="II23" s="48" t="str">
        <f aca="false">IF(COUNTBLANK(IB23:IE23)=3,1,"")</f>
        <v/>
      </c>
      <c r="IJ23" s="74" t="n">
        <f aca="false">IF(IB23="",IG23,0)</f>
        <v>0.25</v>
      </c>
      <c r="IK23" s="50" t="n">
        <f aca="false">IF(IJ23=0,0,IG23/SUM(IJ$21:IJ$24))</f>
        <v>0.25</v>
      </c>
    </row>
    <row r="24" customFormat="false" ht="61.5" hidden="false" customHeight="true" outlineLevel="0" collapsed="false">
      <c r="A24" s="39" t="n">
        <v>21</v>
      </c>
      <c r="B24" s="40" t="s">
        <v>63</v>
      </c>
      <c r="C24" s="63" t="n">
        <f aca="false">$GZ$43</f>
        <v>0</v>
      </c>
      <c r="D24" s="54" t="s">
        <v>64</v>
      </c>
      <c r="E24" s="53" t="s">
        <v>65</v>
      </c>
      <c r="F24" s="62"/>
      <c r="G24" s="62"/>
      <c r="H24" s="62"/>
      <c r="I24" s="62"/>
      <c r="J24" s="45" t="str">
        <f aca="false">(IF(M24="","◄",""))</f>
        <v>◄</v>
      </c>
      <c r="K24" s="72" t="n">
        <v>0.25</v>
      </c>
      <c r="L24" s="73" t="n">
        <f aca="false">(IF(H24&lt;&gt;"",1/2,0)+IF(I24&lt;&gt;"",1,0))*K24*K$20*20</f>
        <v>0</v>
      </c>
      <c r="M24" s="48" t="str">
        <f aca="false">IF(COUNTBLANK(F24:I24)=3,1,"")</f>
        <v/>
      </c>
      <c r="N24" s="74" t="n">
        <f aca="false">IF(F24="",K24,0)</f>
        <v>0.25</v>
      </c>
      <c r="O24" s="50" t="n">
        <f aca="false">IF(N24=0,0,K24/SUM(N$21:N$24))</f>
        <v>0.25</v>
      </c>
      <c r="P24" s="62"/>
      <c r="Q24" s="62"/>
      <c r="R24" s="62"/>
      <c r="S24" s="62"/>
      <c r="T24" s="45" t="str">
        <f aca="false">(IF(W24="","◄",""))</f>
        <v>◄</v>
      </c>
      <c r="U24" s="72" t="n">
        <v>0.25</v>
      </c>
      <c r="V24" s="73" t="n">
        <f aca="false">(IF(R24&lt;&gt;"",1/2,0)+IF(S24&lt;&gt;"",1,0))*U24*U$20*20</f>
        <v>0</v>
      </c>
      <c r="W24" s="48" t="str">
        <f aca="false">IF(COUNTBLANK(P24:S24)=3,1,"")</f>
        <v/>
      </c>
      <c r="X24" s="74" t="n">
        <f aca="false">IF(P24="",U24,0)</f>
        <v>0.25</v>
      </c>
      <c r="Y24" s="50" t="n">
        <f aca="false">IF(X24=0,0,U24/SUM(X$21:X$24))</f>
        <v>0.25</v>
      </c>
      <c r="Z24" s="62"/>
      <c r="AA24" s="62"/>
      <c r="AB24" s="62"/>
      <c r="AC24" s="62"/>
      <c r="AD24" s="45" t="str">
        <f aca="false">(IF(AG24="","◄",""))</f>
        <v>◄</v>
      </c>
      <c r="AE24" s="72" t="n">
        <v>0.25</v>
      </c>
      <c r="AF24" s="73" t="n">
        <f aca="false">(IF(AB24&lt;&gt;"",1/2,0)+IF(AC24&lt;&gt;"",1,0))*AE24*AE$20*20</f>
        <v>0</v>
      </c>
      <c r="AG24" s="48" t="str">
        <f aca="false">IF(COUNTBLANK(Z24:AC24)=3,1,"")</f>
        <v/>
      </c>
      <c r="AH24" s="74" t="n">
        <f aca="false">IF(Z24="",AE24,0)</f>
        <v>0.25</v>
      </c>
      <c r="AI24" s="50" t="n">
        <f aca="false">IF(AH24=0,0,AE24/SUM(AH$21:AH$24))</f>
        <v>0.25</v>
      </c>
      <c r="AJ24" s="62"/>
      <c r="AK24" s="62"/>
      <c r="AL24" s="62"/>
      <c r="AM24" s="62"/>
      <c r="AN24" s="45" t="str">
        <f aca="false">(IF(AQ24="","◄",""))</f>
        <v>◄</v>
      </c>
      <c r="AO24" s="72" t="n">
        <v>0.25</v>
      </c>
      <c r="AP24" s="73" t="n">
        <f aca="false">(IF(AL24&lt;&gt;"",1/2,0)+IF(AM24&lt;&gt;"",1,0))*AO24*AO$20*20</f>
        <v>0</v>
      </c>
      <c r="AQ24" s="48" t="str">
        <f aca="false">IF(COUNTBLANK(AJ24:AM24)=3,1,"")</f>
        <v/>
      </c>
      <c r="AR24" s="74" t="n">
        <f aca="false">IF(AJ24="",AO24,0)</f>
        <v>0.25</v>
      </c>
      <c r="AS24" s="50" t="n">
        <f aca="false">IF(AR24=0,0,AO24/SUM(AR$21:AR$24))</f>
        <v>0.25</v>
      </c>
      <c r="AT24" s="62"/>
      <c r="AU24" s="62"/>
      <c r="AV24" s="62"/>
      <c r="AW24" s="62"/>
      <c r="AX24" s="45" t="str">
        <f aca="false">(IF(BA24="","◄",""))</f>
        <v>◄</v>
      </c>
      <c r="AY24" s="72" t="n">
        <v>0.25</v>
      </c>
      <c r="AZ24" s="73" t="n">
        <f aca="false">(IF(AV24&lt;&gt;"",1/2,0)+IF(AW24&lt;&gt;"",1,0))*AY24*AY$20*20</f>
        <v>0</v>
      </c>
      <c r="BA24" s="48" t="str">
        <f aca="false">IF(COUNTBLANK(AT24:AW24)=3,1,"")</f>
        <v/>
      </c>
      <c r="BB24" s="74" t="n">
        <f aca="false">IF(AT24="",AY24,0)</f>
        <v>0.25</v>
      </c>
      <c r="BC24" s="50" t="n">
        <f aca="false">IF(BB24=0,0,AY24/SUM(BB$21:BB$24))</f>
        <v>0.25</v>
      </c>
      <c r="BD24" s="62"/>
      <c r="BE24" s="62"/>
      <c r="BF24" s="62"/>
      <c r="BG24" s="62"/>
      <c r="BH24" s="45" t="str">
        <f aca="false">(IF(BK24="","◄",""))</f>
        <v>◄</v>
      </c>
      <c r="BI24" s="72" t="n">
        <v>0.25</v>
      </c>
      <c r="BJ24" s="73" t="n">
        <f aca="false">(IF(BF24&lt;&gt;"",1/2,0)+IF(BG24&lt;&gt;"",1,0))*BI24*BI$20*20</f>
        <v>0</v>
      </c>
      <c r="BK24" s="48" t="str">
        <f aca="false">IF(COUNTBLANK(BD24:BG24)=3,1,"")</f>
        <v/>
      </c>
      <c r="BL24" s="74" t="n">
        <f aca="false">IF(BD24="",BI24,0)</f>
        <v>0.25</v>
      </c>
      <c r="BM24" s="50" t="n">
        <f aca="false">IF(BL24=0,0,BI24/SUM(BL$21:BL$24))</f>
        <v>0.25</v>
      </c>
      <c r="BN24" s="62"/>
      <c r="BO24" s="62"/>
      <c r="BP24" s="62"/>
      <c r="BQ24" s="62"/>
      <c r="BR24" s="45" t="str">
        <f aca="false">(IF(BU24="","◄",""))</f>
        <v>◄</v>
      </c>
      <c r="BS24" s="72" t="n">
        <v>0.25</v>
      </c>
      <c r="BT24" s="73" t="n">
        <f aca="false">(IF(BP24&lt;&gt;"",1/2,0)+IF(BQ24&lt;&gt;"",1,0))*BS24*BS$20*20</f>
        <v>0</v>
      </c>
      <c r="BU24" s="48" t="str">
        <f aca="false">IF(COUNTBLANK(BN24:BQ24)=3,1,"")</f>
        <v/>
      </c>
      <c r="BV24" s="74" t="n">
        <f aca="false">IF(BN24="",BS24,0)</f>
        <v>0.25</v>
      </c>
      <c r="BW24" s="50" t="n">
        <f aca="false">IF(BV24=0,0,BS24/SUM(BV$21:BV$24))</f>
        <v>0.25</v>
      </c>
      <c r="BX24" s="62"/>
      <c r="BY24" s="62"/>
      <c r="BZ24" s="62"/>
      <c r="CA24" s="62"/>
      <c r="CB24" s="45" t="str">
        <f aca="false">(IF(CE24="","◄",""))</f>
        <v>◄</v>
      </c>
      <c r="CC24" s="72" t="n">
        <v>0.25</v>
      </c>
      <c r="CD24" s="73" t="n">
        <f aca="false">(IF(BZ24&lt;&gt;"",1/2,0)+IF(CA24&lt;&gt;"",1,0))*CC24*CC$20*20</f>
        <v>0</v>
      </c>
      <c r="CE24" s="48" t="str">
        <f aca="false">IF(COUNTBLANK(BX24:CA24)=3,1,"")</f>
        <v/>
      </c>
      <c r="CF24" s="74" t="n">
        <f aca="false">IF(BX24="",CC24,0)</f>
        <v>0.25</v>
      </c>
      <c r="CG24" s="50" t="n">
        <f aca="false">IF(CF24=0,0,CC24/SUM(CF$21:CF$24))</f>
        <v>0.25</v>
      </c>
      <c r="CH24" s="62"/>
      <c r="CI24" s="62"/>
      <c r="CJ24" s="62"/>
      <c r="CK24" s="62"/>
      <c r="CL24" s="45" t="str">
        <f aca="false">(IF(CO24="","◄",""))</f>
        <v>◄</v>
      </c>
      <c r="CM24" s="72" t="n">
        <v>0.25</v>
      </c>
      <c r="CN24" s="73" t="n">
        <f aca="false">(IF(CJ24&lt;&gt;"",1/2,0)+IF(CK24&lt;&gt;"",1,0))*CM24*CM$20*20</f>
        <v>0</v>
      </c>
      <c r="CO24" s="48" t="str">
        <f aca="false">IF(COUNTBLANK(CH24:CK24)=3,1,"")</f>
        <v/>
      </c>
      <c r="CP24" s="74" t="n">
        <f aca="false">IF(CH24="",CM24,0)</f>
        <v>0.25</v>
      </c>
      <c r="CQ24" s="50" t="n">
        <f aca="false">IF(CP24=0,0,CM24/SUM(CP$21:CP$24))</f>
        <v>0.25</v>
      </c>
      <c r="CR24" s="62"/>
      <c r="CS24" s="62"/>
      <c r="CT24" s="62"/>
      <c r="CU24" s="62"/>
      <c r="CV24" s="45" t="str">
        <f aca="false">(IF(CY24="","◄",""))</f>
        <v>◄</v>
      </c>
      <c r="CW24" s="72" t="n">
        <v>0.25</v>
      </c>
      <c r="CX24" s="73" t="n">
        <f aca="false">(IF(CT24&lt;&gt;"",1/2,0)+IF(CU24&lt;&gt;"",1,0))*CW24*CW$20*20</f>
        <v>0</v>
      </c>
      <c r="CY24" s="48" t="str">
        <f aca="false">IF(COUNTBLANK(CR24:CU24)=3,1,"")</f>
        <v/>
      </c>
      <c r="CZ24" s="74" t="n">
        <f aca="false">IF(CR24="",CW24,0)</f>
        <v>0.25</v>
      </c>
      <c r="DA24" s="50" t="n">
        <f aca="false">IF(CZ24=0,0,CW24/SUM(CZ$21:CZ$24))</f>
        <v>0.25</v>
      </c>
      <c r="DB24" s="62"/>
      <c r="DC24" s="62"/>
      <c r="DD24" s="62"/>
      <c r="DE24" s="62"/>
      <c r="DF24" s="45" t="str">
        <f aca="false">(IF(DI24="","◄",""))</f>
        <v>◄</v>
      </c>
      <c r="DG24" s="72" t="n">
        <v>0.25</v>
      </c>
      <c r="DH24" s="73" t="n">
        <f aca="false">(IF(DD24&lt;&gt;"",1/2,0)+IF(DE24&lt;&gt;"",1,0))*DG24*DG$20*20</f>
        <v>0</v>
      </c>
      <c r="DI24" s="48" t="str">
        <f aca="false">IF(COUNTBLANK(DB24:DE24)=3,1,"")</f>
        <v/>
      </c>
      <c r="DJ24" s="74" t="n">
        <f aca="false">IF(DB24="",DG24,0)</f>
        <v>0.25</v>
      </c>
      <c r="DK24" s="50" t="n">
        <f aca="false">IF(DJ24=0,0,DG24/SUM(DJ$21:DJ$24))</f>
        <v>0.25</v>
      </c>
      <c r="DL24" s="62"/>
      <c r="DM24" s="62"/>
      <c r="DN24" s="62"/>
      <c r="DO24" s="62"/>
      <c r="DP24" s="45" t="str">
        <f aca="false">(IF(DS24="","◄",""))</f>
        <v>◄</v>
      </c>
      <c r="DQ24" s="72" t="n">
        <v>0.25</v>
      </c>
      <c r="DR24" s="73" t="n">
        <f aca="false">(IF(DN24&lt;&gt;"",1/2,0)+IF(DO24&lt;&gt;"",1,0))*DQ24*DQ$20*20</f>
        <v>0</v>
      </c>
      <c r="DS24" s="48" t="str">
        <f aca="false">IF(COUNTBLANK(DL24:DO24)=3,1,"")</f>
        <v/>
      </c>
      <c r="DT24" s="74" t="n">
        <f aca="false">IF(DL24="",DQ24,0)</f>
        <v>0.25</v>
      </c>
      <c r="DU24" s="50" t="n">
        <f aca="false">IF(DT24=0,0,DQ24/SUM(DT$21:DT$24))</f>
        <v>0.25</v>
      </c>
      <c r="DV24" s="62"/>
      <c r="DW24" s="62"/>
      <c r="DX24" s="62"/>
      <c r="DY24" s="62"/>
      <c r="DZ24" s="45" t="str">
        <f aca="false">(IF(EC24="","◄",""))</f>
        <v>◄</v>
      </c>
      <c r="EA24" s="72" t="n">
        <v>0.25</v>
      </c>
      <c r="EB24" s="73" t="n">
        <f aca="false">(IF(DX24&lt;&gt;"",1/2,0)+IF(DY24&lt;&gt;"",1,0))*EA24*EA$20*20</f>
        <v>0</v>
      </c>
      <c r="EC24" s="48" t="str">
        <f aca="false">IF(COUNTBLANK(DV24:DY24)=3,1,"")</f>
        <v/>
      </c>
      <c r="ED24" s="74" t="n">
        <f aca="false">IF(DV24="",EA24,0)</f>
        <v>0.25</v>
      </c>
      <c r="EE24" s="50" t="n">
        <f aca="false">IF(ED24=0,0,EA24/SUM(ED$21:ED$24))</f>
        <v>0.25</v>
      </c>
      <c r="EF24" s="62"/>
      <c r="EG24" s="62"/>
      <c r="EH24" s="62"/>
      <c r="EI24" s="62"/>
      <c r="EJ24" s="45" t="str">
        <f aca="false">(IF(EM24="","◄",""))</f>
        <v>◄</v>
      </c>
      <c r="EK24" s="72" t="n">
        <v>0.25</v>
      </c>
      <c r="EL24" s="73" t="n">
        <f aca="false">(IF(EH24&lt;&gt;"",1/2,0)+IF(EI24&lt;&gt;"",1,0))*EK24*EK$20*20</f>
        <v>0</v>
      </c>
      <c r="EM24" s="48" t="str">
        <f aca="false">IF(COUNTBLANK(EF24:EI24)=3,1,"")</f>
        <v/>
      </c>
      <c r="EN24" s="74" t="n">
        <f aca="false">IF(EF24="",EK24,0)</f>
        <v>0.25</v>
      </c>
      <c r="EO24" s="50" t="n">
        <f aca="false">IF(EN24=0,0,EK24/SUM(EN$21:EN$24))</f>
        <v>0.25</v>
      </c>
      <c r="EP24" s="62"/>
      <c r="EQ24" s="62"/>
      <c r="ER24" s="62"/>
      <c r="ES24" s="62"/>
      <c r="ET24" s="45" t="str">
        <f aca="false">(IF(EW24="","◄",""))</f>
        <v>◄</v>
      </c>
      <c r="EU24" s="72" t="n">
        <v>0.25</v>
      </c>
      <c r="EV24" s="73" t="n">
        <f aca="false">(IF(ER24&lt;&gt;"",1/2,0)+IF(ES24&lt;&gt;"",1,0))*EU24*EU$20*20</f>
        <v>0</v>
      </c>
      <c r="EW24" s="48" t="str">
        <f aca="false">IF(COUNTBLANK(EP24:ES24)=3,1,"")</f>
        <v/>
      </c>
      <c r="EX24" s="74" t="n">
        <f aca="false">IF(EP24="",EU24,0)</f>
        <v>0.25</v>
      </c>
      <c r="EY24" s="50" t="n">
        <f aca="false">IF(EX24=0,0,EU24/SUM(EX$21:EX$24))</f>
        <v>0.25</v>
      </c>
      <c r="EZ24" s="62"/>
      <c r="FA24" s="62"/>
      <c r="FB24" s="62"/>
      <c r="FC24" s="62"/>
      <c r="FD24" s="45" t="str">
        <f aca="false">(IF(FG24="","◄",""))</f>
        <v>◄</v>
      </c>
      <c r="FE24" s="72" t="n">
        <v>0.25</v>
      </c>
      <c r="FF24" s="73" t="n">
        <f aca="false">(IF(FB24&lt;&gt;"",1/2,0)+IF(FC24&lt;&gt;"",1,0))*FE24*FE$20*20</f>
        <v>0</v>
      </c>
      <c r="FG24" s="48" t="str">
        <f aca="false">IF(COUNTBLANK(EZ24:FC24)=3,1,"")</f>
        <v/>
      </c>
      <c r="FH24" s="74" t="n">
        <f aca="false">IF(EZ24="",FE24,0)</f>
        <v>0.25</v>
      </c>
      <c r="FI24" s="50" t="n">
        <f aca="false">IF(FH24=0,0,FE24/SUM(FH$21:FH$24))</f>
        <v>0.25</v>
      </c>
      <c r="FJ24" s="62"/>
      <c r="FK24" s="62"/>
      <c r="FL24" s="62"/>
      <c r="FM24" s="62"/>
      <c r="FN24" s="45" t="str">
        <f aca="false">(IF(FQ24="","◄",""))</f>
        <v>◄</v>
      </c>
      <c r="FO24" s="72" t="n">
        <v>0.25</v>
      </c>
      <c r="FP24" s="73" t="n">
        <f aca="false">(IF(FL24&lt;&gt;"",1/2,0)+IF(FM24&lt;&gt;"",1,0))*FO24*FO$20*20</f>
        <v>0</v>
      </c>
      <c r="FQ24" s="48" t="str">
        <f aca="false">IF(COUNTBLANK(FJ24:FM24)=3,1,"")</f>
        <v/>
      </c>
      <c r="FR24" s="74" t="n">
        <f aca="false">IF(FJ24="",FO24,0)</f>
        <v>0.25</v>
      </c>
      <c r="FS24" s="50" t="n">
        <f aca="false">IF(FR24=0,0,FO24/SUM(FR$21:FR$24))</f>
        <v>0.25</v>
      </c>
      <c r="FT24" s="62"/>
      <c r="FU24" s="62"/>
      <c r="FV24" s="62"/>
      <c r="FW24" s="62"/>
      <c r="FX24" s="45" t="str">
        <f aca="false">(IF(GA24="","◄",""))</f>
        <v>◄</v>
      </c>
      <c r="FY24" s="72" t="n">
        <v>0.25</v>
      </c>
      <c r="FZ24" s="73" t="n">
        <f aca="false">(IF(FV24&lt;&gt;"",1/2,0)+IF(FW24&lt;&gt;"",1,0))*FY24*FY$20*20</f>
        <v>0</v>
      </c>
      <c r="GA24" s="48" t="str">
        <f aca="false">IF(COUNTBLANK(FT24:FW24)=3,1,"")</f>
        <v/>
      </c>
      <c r="GB24" s="74" t="n">
        <f aca="false">IF(FT24="",FY24,0)</f>
        <v>0.25</v>
      </c>
      <c r="GC24" s="50" t="n">
        <f aca="false">IF(GB24=0,0,FY24/SUM(GB$21:GB$24))</f>
        <v>0.25</v>
      </c>
      <c r="GD24" s="62"/>
      <c r="GE24" s="62"/>
      <c r="GF24" s="62"/>
      <c r="GG24" s="62"/>
      <c r="GH24" s="45" t="str">
        <f aca="false">(IF(GK24="","◄",""))</f>
        <v>◄</v>
      </c>
      <c r="GI24" s="72" t="n">
        <v>0.25</v>
      </c>
      <c r="GJ24" s="73" t="n">
        <f aca="false">(IF(GF24&lt;&gt;"",1/2,0)+IF(GG24&lt;&gt;"",1,0))*GI24*GI$20*20</f>
        <v>0</v>
      </c>
      <c r="GK24" s="48" t="str">
        <f aca="false">IF(COUNTBLANK(GD24:GG24)=3,1,"")</f>
        <v/>
      </c>
      <c r="GL24" s="74" t="n">
        <f aca="false">IF(GD24="",GI24,0)</f>
        <v>0.25</v>
      </c>
      <c r="GM24" s="50" t="n">
        <f aca="false">IF(GL24=0,0,GI24/SUM(GL$21:GL$24))</f>
        <v>0.25</v>
      </c>
      <c r="GN24" s="62"/>
      <c r="GO24" s="62"/>
      <c r="GP24" s="62"/>
      <c r="GQ24" s="62"/>
      <c r="GR24" s="45" t="str">
        <f aca="false">(IF(GU24="","◄",""))</f>
        <v>◄</v>
      </c>
      <c r="GS24" s="72" t="n">
        <v>0.25</v>
      </c>
      <c r="GT24" s="73" t="n">
        <f aca="false">(IF(GP24&lt;&gt;"",1/2,0)+IF(GQ24&lt;&gt;"",1,0))*GS24*GS$20*20</f>
        <v>0</v>
      </c>
      <c r="GU24" s="48" t="str">
        <f aca="false">IF(COUNTBLANK(GN24:GQ24)=3,1,"")</f>
        <v/>
      </c>
      <c r="GV24" s="74" t="n">
        <f aca="false">IF(GN24="",GS24,0)</f>
        <v>0.25</v>
      </c>
      <c r="GW24" s="50" t="n">
        <f aca="false">IF(GV24=0,0,GS24/SUM(GV$21:GV$24))</f>
        <v>0.25</v>
      </c>
      <c r="GX24" s="62"/>
      <c r="GY24" s="62"/>
      <c r="GZ24" s="62"/>
      <c r="HA24" s="62"/>
      <c r="HB24" s="45" t="str">
        <f aca="false">(IF(HE24="","◄",""))</f>
        <v>◄</v>
      </c>
      <c r="HC24" s="72" t="n">
        <v>0.25</v>
      </c>
      <c r="HD24" s="73" t="n">
        <f aca="false">(IF(GZ24&lt;&gt;"",1/2,0)+IF(HA24&lt;&gt;"",1,0))*HC24*HC$20*20</f>
        <v>0</v>
      </c>
      <c r="HE24" s="48" t="str">
        <f aca="false">IF(COUNTBLANK(GX24:HA24)=3,1,"")</f>
        <v/>
      </c>
      <c r="HF24" s="74" t="n">
        <f aca="false">IF(GX24="",HC24,0)</f>
        <v>0.25</v>
      </c>
      <c r="HG24" s="50" t="n">
        <f aca="false">IF(HF24=0,0,HC24/SUM(HF$21:HF$24))</f>
        <v>0.25</v>
      </c>
      <c r="HH24" s="62"/>
      <c r="HI24" s="62"/>
      <c r="HJ24" s="62"/>
      <c r="HK24" s="62"/>
      <c r="HL24" s="45" t="str">
        <f aca="false">(IF(HO24="","◄",""))</f>
        <v>◄</v>
      </c>
      <c r="HM24" s="72" t="n">
        <v>0.25</v>
      </c>
      <c r="HN24" s="73" t="n">
        <f aca="false">(IF(HJ24&lt;&gt;"",1/2,0)+IF(HK24&lt;&gt;"",1,0))*HM24*HM$20*20</f>
        <v>0</v>
      </c>
      <c r="HO24" s="48" t="str">
        <f aca="false">IF(COUNTBLANK(HH24:HK24)=3,1,"")</f>
        <v/>
      </c>
      <c r="HP24" s="74" t="n">
        <f aca="false">IF(HH24="",HM24,0)</f>
        <v>0.25</v>
      </c>
      <c r="HQ24" s="50" t="n">
        <f aca="false">IF(HP24=0,0,HM24/SUM(HP$21:HP$24))</f>
        <v>0.25</v>
      </c>
      <c r="HR24" s="62"/>
      <c r="HS24" s="62"/>
      <c r="HT24" s="62"/>
      <c r="HU24" s="62"/>
      <c r="HV24" s="45" t="str">
        <f aca="false">(IF(HY24="","◄",""))</f>
        <v>◄</v>
      </c>
      <c r="HW24" s="72" t="n">
        <v>0.25</v>
      </c>
      <c r="HX24" s="73" t="n">
        <f aca="false">(IF(HT24&lt;&gt;"",1/2,0)+IF(HU24&lt;&gt;"",1,0))*HW24*HW$20*20</f>
        <v>0</v>
      </c>
      <c r="HY24" s="48" t="str">
        <f aca="false">IF(COUNTBLANK(HR24:HU24)=3,1,"")</f>
        <v/>
      </c>
      <c r="HZ24" s="74" t="n">
        <f aca="false">IF(HR24="",HW24,0)</f>
        <v>0.25</v>
      </c>
      <c r="IA24" s="50" t="n">
        <f aca="false">IF(HZ24=0,0,HW24/SUM(HZ$21:HZ$24))</f>
        <v>0.25</v>
      </c>
      <c r="IB24" s="62"/>
      <c r="IC24" s="62"/>
      <c r="ID24" s="62"/>
      <c r="IE24" s="62"/>
      <c r="IF24" s="45" t="str">
        <f aca="false">(IF(II24="","◄",""))</f>
        <v>◄</v>
      </c>
      <c r="IG24" s="72" t="n">
        <v>0.25</v>
      </c>
      <c r="IH24" s="73" t="n">
        <f aca="false">(IF(ID24&lt;&gt;"",1/2,0)+IF(IE24&lt;&gt;"",1,0))*IG24*IG$20*20</f>
        <v>0</v>
      </c>
      <c r="II24" s="48" t="str">
        <f aca="false">IF(COUNTBLANK(IB24:IE24)=3,1,"")</f>
        <v/>
      </c>
      <c r="IJ24" s="74" t="n">
        <f aca="false">IF(IB24="",IG24,0)</f>
        <v>0.25</v>
      </c>
      <c r="IK24" s="50" t="n">
        <f aca="false">IF(IJ24=0,0,IG24/SUM(IJ$21:IJ$24))</f>
        <v>0.25</v>
      </c>
    </row>
    <row r="25" customFormat="false" ht="49.5" hidden="false" customHeight="true" outlineLevel="0" collapsed="false">
      <c r="A25" s="39" t="n">
        <v>22</v>
      </c>
      <c r="B25" s="40" t="s">
        <v>66</v>
      </c>
      <c r="C25" s="63" t="n">
        <f aca="false">$HJ$43</f>
        <v>0</v>
      </c>
      <c r="D25" s="76" t="s">
        <v>67</v>
      </c>
      <c r="E25" s="77" t="s">
        <v>68</v>
      </c>
      <c r="F25" s="67"/>
      <c r="G25" s="67"/>
      <c r="H25" s="67"/>
      <c r="I25" s="67"/>
      <c r="J25" s="59"/>
      <c r="K25" s="68" t="n">
        <v>0.2</v>
      </c>
      <c r="L25" s="35" t="n">
        <f aca="false">SUM(L26:L32)</f>
        <v>0</v>
      </c>
      <c r="M25" s="48"/>
      <c r="N25" s="69" t="n">
        <f aca="false">SUM(N26:N32)*K25</f>
        <v>0.2</v>
      </c>
      <c r="O25" s="70" t="n">
        <f aca="false">IF(SUM(N26:N32)=0,K25,0)</f>
        <v>0</v>
      </c>
      <c r="P25" s="67"/>
      <c r="Q25" s="67"/>
      <c r="R25" s="67"/>
      <c r="S25" s="67"/>
      <c r="T25" s="59"/>
      <c r="U25" s="68" t="n">
        <v>0.2</v>
      </c>
      <c r="V25" s="35" t="n">
        <f aca="false">SUM(V26:V32)</f>
        <v>0</v>
      </c>
      <c r="W25" s="48"/>
      <c r="X25" s="69" t="n">
        <f aca="false">SUM(X26:X32)*U25</f>
        <v>0.2</v>
      </c>
      <c r="Y25" s="70" t="n">
        <f aca="false">IF(SUM(X26:X32)=0,U25,0)</f>
        <v>0</v>
      </c>
      <c r="Z25" s="67"/>
      <c r="AA25" s="67"/>
      <c r="AB25" s="67"/>
      <c r="AC25" s="67"/>
      <c r="AD25" s="59"/>
      <c r="AE25" s="68" t="n">
        <v>0.2</v>
      </c>
      <c r="AF25" s="35" t="n">
        <f aca="false">SUM(AF26:AF32)</f>
        <v>0</v>
      </c>
      <c r="AG25" s="48"/>
      <c r="AH25" s="69" t="n">
        <f aca="false">SUM(AH26:AH32)*AE25</f>
        <v>0.2</v>
      </c>
      <c r="AI25" s="70" t="n">
        <f aca="false">IF(SUM(AH26:AH32)=0,AE25,0)</f>
        <v>0</v>
      </c>
      <c r="AJ25" s="67"/>
      <c r="AK25" s="67"/>
      <c r="AL25" s="67"/>
      <c r="AM25" s="67"/>
      <c r="AN25" s="59"/>
      <c r="AO25" s="68" t="n">
        <v>0.2</v>
      </c>
      <c r="AP25" s="35" t="n">
        <f aca="false">SUM(AP26:AP32)</f>
        <v>0</v>
      </c>
      <c r="AQ25" s="48"/>
      <c r="AR25" s="69" t="n">
        <f aca="false">SUM(AR26:AR32)*AO25</f>
        <v>0.2</v>
      </c>
      <c r="AS25" s="70" t="n">
        <f aca="false">IF(SUM(AR26:AR32)=0,AO25,0)</f>
        <v>0</v>
      </c>
      <c r="AT25" s="67"/>
      <c r="AU25" s="67"/>
      <c r="AV25" s="67"/>
      <c r="AW25" s="67"/>
      <c r="AX25" s="59"/>
      <c r="AY25" s="68" t="n">
        <v>0.2</v>
      </c>
      <c r="AZ25" s="35" t="n">
        <f aca="false">SUM(AZ26:AZ32)</f>
        <v>0</v>
      </c>
      <c r="BA25" s="48"/>
      <c r="BB25" s="69" t="n">
        <f aca="false">SUM(BB26:BB32)*AY25</f>
        <v>0.2</v>
      </c>
      <c r="BC25" s="70" t="n">
        <f aca="false">IF(SUM(BB26:BB32)=0,AY25,0)</f>
        <v>0</v>
      </c>
      <c r="BD25" s="67"/>
      <c r="BE25" s="67"/>
      <c r="BF25" s="67"/>
      <c r="BG25" s="67"/>
      <c r="BH25" s="59"/>
      <c r="BI25" s="68" t="n">
        <v>0.2</v>
      </c>
      <c r="BJ25" s="35" t="n">
        <f aca="false">SUM(BJ26:BJ32)</f>
        <v>0</v>
      </c>
      <c r="BK25" s="48"/>
      <c r="BL25" s="69" t="n">
        <f aca="false">SUM(BL26:BL32)*BI25</f>
        <v>0.2</v>
      </c>
      <c r="BM25" s="70" t="n">
        <f aca="false">IF(SUM(BL26:BL32)=0,BI25,0)</f>
        <v>0</v>
      </c>
      <c r="BN25" s="67"/>
      <c r="BO25" s="67"/>
      <c r="BP25" s="67"/>
      <c r="BQ25" s="67"/>
      <c r="BR25" s="59"/>
      <c r="BS25" s="68" t="n">
        <v>0.2</v>
      </c>
      <c r="BT25" s="35" t="n">
        <f aca="false">SUM(BT26:BT32)</f>
        <v>0</v>
      </c>
      <c r="BU25" s="48"/>
      <c r="BV25" s="69" t="n">
        <f aca="false">SUM(BV26:BV32)*BS25</f>
        <v>0.2</v>
      </c>
      <c r="BW25" s="70" t="n">
        <f aca="false">IF(SUM(BV26:BV32)=0,BS25,0)</f>
        <v>0</v>
      </c>
      <c r="BX25" s="67"/>
      <c r="BY25" s="67"/>
      <c r="BZ25" s="67"/>
      <c r="CA25" s="67"/>
      <c r="CB25" s="59"/>
      <c r="CC25" s="68" t="n">
        <v>0.2</v>
      </c>
      <c r="CD25" s="35" t="n">
        <f aca="false">SUM(CD26:CD32)</f>
        <v>0</v>
      </c>
      <c r="CE25" s="48"/>
      <c r="CF25" s="69" t="n">
        <f aca="false">SUM(CF26:CF32)*CC25</f>
        <v>0.2</v>
      </c>
      <c r="CG25" s="70" t="n">
        <f aca="false">IF(SUM(CF26:CF32)=0,CC25,0)</f>
        <v>0</v>
      </c>
      <c r="CH25" s="67"/>
      <c r="CI25" s="67"/>
      <c r="CJ25" s="67"/>
      <c r="CK25" s="67"/>
      <c r="CL25" s="59"/>
      <c r="CM25" s="68" t="n">
        <v>0.2</v>
      </c>
      <c r="CN25" s="35" t="n">
        <f aca="false">SUM(CN26:CN32)</f>
        <v>0</v>
      </c>
      <c r="CO25" s="48"/>
      <c r="CP25" s="69" t="n">
        <f aca="false">SUM(CP26:CP32)*CM25</f>
        <v>0.2</v>
      </c>
      <c r="CQ25" s="70" t="n">
        <f aca="false">IF(SUM(CP26:CP32)=0,CM25,0)</f>
        <v>0</v>
      </c>
      <c r="CR25" s="67"/>
      <c r="CS25" s="67"/>
      <c r="CT25" s="67"/>
      <c r="CU25" s="67"/>
      <c r="CV25" s="59"/>
      <c r="CW25" s="68" t="n">
        <v>0.2</v>
      </c>
      <c r="CX25" s="35" t="n">
        <f aca="false">SUM(CX26:CX32)</f>
        <v>0</v>
      </c>
      <c r="CY25" s="48"/>
      <c r="CZ25" s="69" t="n">
        <f aca="false">SUM(CZ26:CZ32)*CW25</f>
        <v>0.2</v>
      </c>
      <c r="DA25" s="70" t="n">
        <f aca="false">IF(SUM(CZ26:CZ32)=0,CW25,0)</f>
        <v>0</v>
      </c>
      <c r="DB25" s="67"/>
      <c r="DC25" s="67"/>
      <c r="DD25" s="67"/>
      <c r="DE25" s="67"/>
      <c r="DF25" s="59"/>
      <c r="DG25" s="68" t="n">
        <v>0.2</v>
      </c>
      <c r="DH25" s="35" t="n">
        <f aca="false">SUM(DH26:DH32)</f>
        <v>0</v>
      </c>
      <c r="DI25" s="48"/>
      <c r="DJ25" s="69" t="n">
        <f aca="false">SUM(DJ26:DJ32)*DG25</f>
        <v>0.2</v>
      </c>
      <c r="DK25" s="70" t="n">
        <f aca="false">IF(SUM(DJ26:DJ32)=0,DG25,0)</f>
        <v>0</v>
      </c>
      <c r="DL25" s="67"/>
      <c r="DM25" s="67"/>
      <c r="DN25" s="67"/>
      <c r="DO25" s="67"/>
      <c r="DP25" s="59"/>
      <c r="DQ25" s="68" t="n">
        <v>0.2</v>
      </c>
      <c r="DR25" s="35" t="n">
        <f aca="false">SUM(DR26:DR32)</f>
        <v>0</v>
      </c>
      <c r="DS25" s="48"/>
      <c r="DT25" s="69" t="n">
        <f aca="false">SUM(DT26:DT32)*DQ25</f>
        <v>0.2</v>
      </c>
      <c r="DU25" s="70" t="n">
        <f aca="false">IF(SUM(DT26:DT32)=0,DQ25,0)</f>
        <v>0</v>
      </c>
      <c r="DV25" s="67"/>
      <c r="DW25" s="67"/>
      <c r="DX25" s="67"/>
      <c r="DY25" s="67"/>
      <c r="DZ25" s="59"/>
      <c r="EA25" s="68" t="n">
        <v>0.2</v>
      </c>
      <c r="EB25" s="35" t="n">
        <f aca="false">SUM(EB26:EB32)</f>
        <v>0</v>
      </c>
      <c r="EC25" s="48"/>
      <c r="ED25" s="69" t="n">
        <f aca="false">SUM(ED26:ED32)*EA25</f>
        <v>0.2</v>
      </c>
      <c r="EE25" s="70" t="n">
        <f aca="false">IF(SUM(ED26:ED32)=0,EA25,0)</f>
        <v>0</v>
      </c>
      <c r="EF25" s="67"/>
      <c r="EG25" s="67"/>
      <c r="EH25" s="67"/>
      <c r="EI25" s="67"/>
      <c r="EJ25" s="59"/>
      <c r="EK25" s="68" t="n">
        <v>0.2</v>
      </c>
      <c r="EL25" s="35" t="n">
        <f aca="false">SUM(EL26:EL32)</f>
        <v>0</v>
      </c>
      <c r="EM25" s="48"/>
      <c r="EN25" s="69" t="n">
        <f aca="false">SUM(EN26:EN32)*EK25</f>
        <v>0.2</v>
      </c>
      <c r="EO25" s="70" t="n">
        <f aca="false">IF(SUM(EN26:EN32)=0,EK25,0)</f>
        <v>0</v>
      </c>
      <c r="EP25" s="67"/>
      <c r="EQ25" s="67"/>
      <c r="ER25" s="67"/>
      <c r="ES25" s="67"/>
      <c r="ET25" s="59"/>
      <c r="EU25" s="68" t="n">
        <v>0.2</v>
      </c>
      <c r="EV25" s="35" t="n">
        <f aca="false">SUM(EV26:EV32)</f>
        <v>0</v>
      </c>
      <c r="EW25" s="48"/>
      <c r="EX25" s="69" t="n">
        <f aca="false">SUM(EX26:EX32)*EU25</f>
        <v>0.2</v>
      </c>
      <c r="EY25" s="70" t="n">
        <f aca="false">IF(SUM(EX26:EX32)=0,EU25,0)</f>
        <v>0</v>
      </c>
      <c r="EZ25" s="67"/>
      <c r="FA25" s="67"/>
      <c r="FB25" s="67"/>
      <c r="FC25" s="67"/>
      <c r="FD25" s="59"/>
      <c r="FE25" s="68" t="n">
        <v>0.2</v>
      </c>
      <c r="FF25" s="35" t="n">
        <f aca="false">SUM(FF26:FF32)</f>
        <v>0</v>
      </c>
      <c r="FG25" s="48"/>
      <c r="FH25" s="69" t="n">
        <f aca="false">SUM(FH26:FH32)*FE25</f>
        <v>0.2</v>
      </c>
      <c r="FI25" s="70" t="n">
        <f aca="false">IF(SUM(FH26:FH32)=0,FE25,0)</f>
        <v>0</v>
      </c>
      <c r="FJ25" s="67"/>
      <c r="FK25" s="67"/>
      <c r="FL25" s="67"/>
      <c r="FM25" s="67"/>
      <c r="FN25" s="59"/>
      <c r="FO25" s="68" t="n">
        <v>0.2</v>
      </c>
      <c r="FP25" s="35" t="n">
        <f aca="false">SUM(FP26:FP32)</f>
        <v>0</v>
      </c>
      <c r="FQ25" s="48"/>
      <c r="FR25" s="69" t="n">
        <f aca="false">SUM(FR26:FR32)*FO25</f>
        <v>0.2</v>
      </c>
      <c r="FS25" s="70" t="n">
        <f aca="false">IF(SUM(FR26:FR32)=0,FO25,0)</f>
        <v>0</v>
      </c>
      <c r="FT25" s="67"/>
      <c r="FU25" s="67"/>
      <c r="FV25" s="67"/>
      <c r="FW25" s="67"/>
      <c r="FX25" s="59"/>
      <c r="FY25" s="68" t="n">
        <v>0.2</v>
      </c>
      <c r="FZ25" s="35" t="n">
        <f aca="false">SUM(FZ26:FZ32)</f>
        <v>0</v>
      </c>
      <c r="GA25" s="48"/>
      <c r="GB25" s="69" t="n">
        <f aca="false">SUM(GB26:GB32)*FY25</f>
        <v>0.2</v>
      </c>
      <c r="GC25" s="70" t="n">
        <f aca="false">IF(SUM(GB26:GB32)=0,FY25,0)</f>
        <v>0</v>
      </c>
      <c r="GD25" s="67"/>
      <c r="GE25" s="67"/>
      <c r="GF25" s="67"/>
      <c r="GG25" s="67"/>
      <c r="GH25" s="59"/>
      <c r="GI25" s="68" t="n">
        <v>0.2</v>
      </c>
      <c r="GJ25" s="35" t="n">
        <f aca="false">SUM(GJ26:GJ32)</f>
        <v>0</v>
      </c>
      <c r="GK25" s="48"/>
      <c r="GL25" s="69" t="n">
        <f aca="false">SUM(GL26:GL32)*GI25</f>
        <v>0.2</v>
      </c>
      <c r="GM25" s="70" t="n">
        <f aca="false">IF(SUM(GL26:GL32)=0,GI25,0)</f>
        <v>0</v>
      </c>
      <c r="GN25" s="67"/>
      <c r="GO25" s="67"/>
      <c r="GP25" s="67"/>
      <c r="GQ25" s="67"/>
      <c r="GR25" s="59"/>
      <c r="GS25" s="68" t="n">
        <v>0.2</v>
      </c>
      <c r="GT25" s="35" t="n">
        <f aca="false">SUM(GT26:GT32)</f>
        <v>0</v>
      </c>
      <c r="GU25" s="48"/>
      <c r="GV25" s="69" t="n">
        <f aca="false">SUM(GV26:GV32)*GS25</f>
        <v>0.2</v>
      </c>
      <c r="GW25" s="70" t="n">
        <f aca="false">IF(SUM(GV26:GV32)=0,GS25,0)</f>
        <v>0</v>
      </c>
      <c r="GX25" s="67"/>
      <c r="GY25" s="67"/>
      <c r="GZ25" s="67"/>
      <c r="HA25" s="67"/>
      <c r="HB25" s="59"/>
      <c r="HC25" s="68" t="n">
        <v>0.2</v>
      </c>
      <c r="HD25" s="35" t="n">
        <f aca="false">SUM(HD26:HD32)</f>
        <v>0</v>
      </c>
      <c r="HE25" s="48"/>
      <c r="HF25" s="69" t="n">
        <f aca="false">SUM(HF26:HF32)*HC25</f>
        <v>0.2</v>
      </c>
      <c r="HG25" s="70" t="n">
        <f aca="false">IF(SUM(HF26:HF32)=0,HC25,0)</f>
        <v>0</v>
      </c>
      <c r="HH25" s="67"/>
      <c r="HI25" s="67"/>
      <c r="HJ25" s="67"/>
      <c r="HK25" s="67"/>
      <c r="HL25" s="59"/>
      <c r="HM25" s="68" t="n">
        <v>0.2</v>
      </c>
      <c r="HN25" s="35" t="n">
        <f aca="false">SUM(HN26:HN32)</f>
        <v>0</v>
      </c>
      <c r="HO25" s="48"/>
      <c r="HP25" s="69" t="n">
        <f aca="false">SUM(HP26:HP32)*HM25</f>
        <v>0.2</v>
      </c>
      <c r="HQ25" s="70" t="n">
        <f aca="false">IF(SUM(HP26:HP32)=0,HM25,0)</f>
        <v>0</v>
      </c>
      <c r="HR25" s="67"/>
      <c r="HS25" s="67"/>
      <c r="HT25" s="67"/>
      <c r="HU25" s="67"/>
      <c r="HV25" s="59"/>
      <c r="HW25" s="68" t="n">
        <v>0.2</v>
      </c>
      <c r="HX25" s="35" t="n">
        <f aca="false">SUM(HX26:HX32)</f>
        <v>0</v>
      </c>
      <c r="HY25" s="48"/>
      <c r="HZ25" s="69" t="n">
        <f aca="false">SUM(HZ26:HZ32)*HW25</f>
        <v>0.2</v>
      </c>
      <c r="IA25" s="70" t="n">
        <f aca="false">IF(SUM(HZ26:HZ32)=0,HW25,0)</f>
        <v>0</v>
      </c>
      <c r="IB25" s="67"/>
      <c r="IC25" s="67"/>
      <c r="ID25" s="67"/>
      <c r="IE25" s="67"/>
      <c r="IF25" s="59"/>
      <c r="IG25" s="68" t="n">
        <v>0.2</v>
      </c>
      <c r="IH25" s="35" t="n">
        <f aca="false">SUM(IH26:IH32)</f>
        <v>0</v>
      </c>
      <c r="II25" s="48"/>
      <c r="IJ25" s="69" t="n">
        <f aca="false">SUM(IJ26:IJ32)*IG25</f>
        <v>0.2</v>
      </c>
      <c r="IK25" s="70" t="n">
        <f aca="false">IF(SUM(IJ26:IJ32)=0,IG25,0)</f>
        <v>0</v>
      </c>
    </row>
    <row r="26" customFormat="false" ht="49.5" hidden="false" customHeight="true" outlineLevel="0" collapsed="false">
      <c r="A26" s="39" t="n">
        <v>23</v>
      </c>
      <c r="B26" s="40" t="s">
        <v>69</v>
      </c>
      <c r="C26" s="78" t="n">
        <f aca="false">$HT$43</f>
        <v>0</v>
      </c>
      <c r="D26" s="71" t="s">
        <v>70</v>
      </c>
      <c r="E26" s="61" t="s">
        <v>71</v>
      </c>
      <c r="F26" s="62"/>
      <c r="G26" s="62"/>
      <c r="H26" s="62"/>
      <c r="I26" s="62"/>
      <c r="J26" s="45" t="str">
        <f aca="false">(IF(M26="","◄",""))</f>
        <v>◄</v>
      </c>
      <c r="K26" s="72" t="n">
        <v>0.15</v>
      </c>
      <c r="L26" s="73" t="n">
        <f aca="false">(IF(H26&lt;&gt;"",1/2,0)+IF(I26&lt;&gt;"",1,0))*K26*K$25*20</f>
        <v>0</v>
      </c>
      <c r="M26" s="48" t="str">
        <f aca="false">IF(COUNTBLANK(F26:I26)=3,1,"")</f>
        <v/>
      </c>
      <c r="N26" s="74" t="n">
        <f aca="false">IF(F26="",K26,0)</f>
        <v>0.15</v>
      </c>
      <c r="O26" s="79" t="n">
        <f aca="false">IF(N26=0,0,K26/SUM(N$26:N$32))</f>
        <v>0.15</v>
      </c>
      <c r="P26" s="62"/>
      <c r="Q26" s="62"/>
      <c r="R26" s="62"/>
      <c r="S26" s="62"/>
      <c r="T26" s="45" t="str">
        <f aca="false">(IF(W26="","◄",""))</f>
        <v>◄</v>
      </c>
      <c r="U26" s="72" t="n">
        <v>0.15</v>
      </c>
      <c r="V26" s="73" t="n">
        <f aca="false">(IF(R26&lt;&gt;"",1/2,0)+IF(S26&lt;&gt;"",1,0))*U26*U$25*20</f>
        <v>0</v>
      </c>
      <c r="W26" s="48" t="str">
        <f aca="false">IF(COUNTBLANK(P26:S26)=3,1,"")</f>
        <v/>
      </c>
      <c r="X26" s="74" t="n">
        <f aca="false">IF(P26="",U26,0)</f>
        <v>0.15</v>
      </c>
      <c r="Y26" s="79" t="n">
        <f aca="false">IF(X26=0,0,U26/SUM(X$26:X$32))</f>
        <v>0.15</v>
      </c>
      <c r="Z26" s="62"/>
      <c r="AA26" s="62"/>
      <c r="AB26" s="62"/>
      <c r="AC26" s="62"/>
      <c r="AD26" s="45" t="str">
        <f aca="false">(IF(AG26="","◄",""))</f>
        <v>◄</v>
      </c>
      <c r="AE26" s="72" t="n">
        <v>0.15</v>
      </c>
      <c r="AF26" s="73" t="n">
        <f aca="false">(IF(AB26&lt;&gt;"",1/2,0)+IF(AC26&lt;&gt;"",1,0))*AE26*AE$25*20</f>
        <v>0</v>
      </c>
      <c r="AG26" s="48" t="str">
        <f aca="false">IF(COUNTBLANK(Z26:AC26)=3,1,"")</f>
        <v/>
      </c>
      <c r="AH26" s="74" t="n">
        <f aca="false">IF(Z26="",AE26,0)</f>
        <v>0.15</v>
      </c>
      <c r="AI26" s="79" t="n">
        <f aca="false">IF(AH26=0,0,AE26/SUM(AH$26:AH$32))</f>
        <v>0.15</v>
      </c>
      <c r="AJ26" s="62"/>
      <c r="AK26" s="62"/>
      <c r="AL26" s="62"/>
      <c r="AM26" s="62"/>
      <c r="AN26" s="45" t="str">
        <f aca="false">(IF(AQ26="","◄",""))</f>
        <v>◄</v>
      </c>
      <c r="AO26" s="72" t="n">
        <v>0.15</v>
      </c>
      <c r="AP26" s="73" t="n">
        <f aca="false">(IF(AL26&lt;&gt;"",1/2,0)+IF(AM26&lt;&gt;"",1,0))*AO26*AO$25*20</f>
        <v>0</v>
      </c>
      <c r="AQ26" s="48" t="str">
        <f aca="false">IF(COUNTBLANK(AJ26:AM26)=3,1,"")</f>
        <v/>
      </c>
      <c r="AR26" s="74" t="n">
        <f aca="false">IF(AJ26="",AO26,0)</f>
        <v>0.15</v>
      </c>
      <c r="AS26" s="79" t="n">
        <f aca="false">IF(AR26=0,0,AO26/SUM(AR$26:AR$32))</f>
        <v>0.15</v>
      </c>
      <c r="AT26" s="62"/>
      <c r="AU26" s="62"/>
      <c r="AV26" s="62"/>
      <c r="AW26" s="62"/>
      <c r="AX26" s="45" t="str">
        <f aca="false">(IF(BA26="","◄",""))</f>
        <v>◄</v>
      </c>
      <c r="AY26" s="72" t="n">
        <v>0.15</v>
      </c>
      <c r="AZ26" s="73" t="n">
        <f aca="false">(IF(AV26&lt;&gt;"",1/2,0)+IF(AW26&lt;&gt;"",1,0))*AY26*AY$25*20</f>
        <v>0</v>
      </c>
      <c r="BA26" s="48" t="str">
        <f aca="false">IF(COUNTBLANK(AT26:AW26)=3,1,"")</f>
        <v/>
      </c>
      <c r="BB26" s="74" t="n">
        <f aca="false">IF(AT26="",AY26,0)</f>
        <v>0.15</v>
      </c>
      <c r="BC26" s="79" t="n">
        <f aca="false">IF(BB26=0,0,AY26/SUM(BB$26:BB$32))</f>
        <v>0.15</v>
      </c>
      <c r="BD26" s="62"/>
      <c r="BE26" s="62"/>
      <c r="BF26" s="62"/>
      <c r="BG26" s="62"/>
      <c r="BH26" s="45" t="str">
        <f aca="false">(IF(BK26="","◄",""))</f>
        <v>◄</v>
      </c>
      <c r="BI26" s="72" t="n">
        <v>0.15</v>
      </c>
      <c r="BJ26" s="73" t="n">
        <f aca="false">(IF(BF26&lt;&gt;"",1/2,0)+IF(BG26&lt;&gt;"",1,0))*BI26*BI$25*20</f>
        <v>0</v>
      </c>
      <c r="BK26" s="48" t="str">
        <f aca="false">IF(COUNTBLANK(BD26:BG26)=3,1,"")</f>
        <v/>
      </c>
      <c r="BL26" s="74" t="n">
        <f aca="false">IF(BD26="",BI26,0)</f>
        <v>0.15</v>
      </c>
      <c r="BM26" s="79" t="n">
        <f aca="false">IF(BL26=0,0,BI26/SUM(BL$26:BL$32))</f>
        <v>0.15</v>
      </c>
      <c r="BN26" s="62"/>
      <c r="BO26" s="62"/>
      <c r="BP26" s="62"/>
      <c r="BQ26" s="62"/>
      <c r="BR26" s="45" t="str">
        <f aca="false">(IF(BU26="","◄",""))</f>
        <v>◄</v>
      </c>
      <c r="BS26" s="72" t="n">
        <v>0.15</v>
      </c>
      <c r="BT26" s="73" t="n">
        <f aca="false">(IF(BP26&lt;&gt;"",1/2,0)+IF(BQ26&lt;&gt;"",1,0))*BS26*BS$25*20</f>
        <v>0</v>
      </c>
      <c r="BU26" s="48" t="str">
        <f aca="false">IF(COUNTBLANK(BN26:BQ26)=3,1,"")</f>
        <v/>
      </c>
      <c r="BV26" s="74" t="n">
        <f aca="false">IF(BN26="",BS26,0)</f>
        <v>0.15</v>
      </c>
      <c r="BW26" s="79" t="n">
        <f aca="false">IF(BV26=0,0,BS26/SUM(BV$26:BV$32))</f>
        <v>0.15</v>
      </c>
      <c r="BX26" s="62"/>
      <c r="BY26" s="62"/>
      <c r="BZ26" s="62"/>
      <c r="CA26" s="62"/>
      <c r="CB26" s="45" t="str">
        <f aca="false">(IF(CE26="","◄",""))</f>
        <v>◄</v>
      </c>
      <c r="CC26" s="72" t="n">
        <v>0.15</v>
      </c>
      <c r="CD26" s="73" t="n">
        <f aca="false">(IF(BZ26&lt;&gt;"",1/2,0)+IF(CA26&lt;&gt;"",1,0))*CC26*CC$25*20</f>
        <v>0</v>
      </c>
      <c r="CE26" s="48" t="str">
        <f aca="false">IF(COUNTBLANK(BX26:CA26)=3,1,"")</f>
        <v/>
      </c>
      <c r="CF26" s="74" t="n">
        <f aca="false">IF(BX26="",CC26,0)</f>
        <v>0.15</v>
      </c>
      <c r="CG26" s="79" t="n">
        <f aca="false">IF(CF26=0,0,CC26/SUM(CF$26:CF$32))</f>
        <v>0.15</v>
      </c>
      <c r="CH26" s="62"/>
      <c r="CI26" s="62"/>
      <c r="CJ26" s="62"/>
      <c r="CK26" s="62"/>
      <c r="CL26" s="45" t="str">
        <f aca="false">(IF(CO26="","◄",""))</f>
        <v>◄</v>
      </c>
      <c r="CM26" s="72" t="n">
        <v>0.15</v>
      </c>
      <c r="CN26" s="73" t="n">
        <f aca="false">(IF(CJ26&lt;&gt;"",1/2,0)+IF(CK26&lt;&gt;"",1,0))*CM26*CM$25*20</f>
        <v>0</v>
      </c>
      <c r="CO26" s="48" t="str">
        <f aca="false">IF(COUNTBLANK(CH26:CK26)=3,1,"")</f>
        <v/>
      </c>
      <c r="CP26" s="74" t="n">
        <f aca="false">IF(CH26="",CM26,0)</f>
        <v>0.15</v>
      </c>
      <c r="CQ26" s="79" t="n">
        <f aca="false">IF(CP26=0,0,CM26/SUM(CP$26:CP$32))</f>
        <v>0.15</v>
      </c>
      <c r="CR26" s="62"/>
      <c r="CS26" s="62"/>
      <c r="CT26" s="62"/>
      <c r="CU26" s="62"/>
      <c r="CV26" s="45" t="str">
        <f aca="false">(IF(CY26="","◄",""))</f>
        <v>◄</v>
      </c>
      <c r="CW26" s="72" t="n">
        <v>0.15</v>
      </c>
      <c r="CX26" s="73" t="n">
        <f aca="false">(IF(CT26&lt;&gt;"",1/2,0)+IF(CU26&lt;&gt;"",1,0))*CW26*CW$25*20</f>
        <v>0</v>
      </c>
      <c r="CY26" s="48" t="str">
        <f aca="false">IF(COUNTBLANK(CR26:CU26)=3,1,"")</f>
        <v/>
      </c>
      <c r="CZ26" s="74" t="n">
        <f aca="false">IF(CR26="",CW26,0)</f>
        <v>0.15</v>
      </c>
      <c r="DA26" s="79" t="n">
        <f aca="false">IF(CZ26=0,0,CW26/SUM(CZ$26:CZ$32))</f>
        <v>0.15</v>
      </c>
      <c r="DB26" s="62"/>
      <c r="DC26" s="62"/>
      <c r="DD26" s="62"/>
      <c r="DE26" s="62"/>
      <c r="DF26" s="45" t="str">
        <f aca="false">(IF(DI26="","◄",""))</f>
        <v>◄</v>
      </c>
      <c r="DG26" s="72" t="n">
        <v>0.15</v>
      </c>
      <c r="DH26" s="73" t="n">
        <f aca="false">(IF(DD26&lt;&gt;"",1/2,0)+IF(DE26&lt;&gt;"",1,0))*DG26*DG$25*20</f>
        <v>0</v>
      </c>
      <c r="DI26" s="48" t="str">
        <f aca="false">IF(COUNTBLANK(DB26:DE26)=3,1,"")</f>
        <v/>
      </c>
      <c r="DJ26" s="74" t="n">
        <f aca="false">IF(DB26="",DG26,0)</f>
        <v>0.15</v>
      </c>
      <c r="DK26" s="79" t="n">
        <f aca="false">IF(DJ26=0,0,DG26/SUM(DJ$26:DJ$32))</f>
        <v>0.15</v>
      </c>
      <c r="DL26" s="62"/>
      <c r="DM26" s="62"/>
      <c r="DN26" s="62"/>
      <c r="DO26" s="62"/>
      <c r="DP26" s="45" t="str">
        <f aca="false">(IF(DS26="","◄",""))</f>
        <v>◄</v>
      </c>
      <c r="DQ26" s="72" t="n">
        <v>0.15</v>
      </c>
      <c r="DR26" s="73" t="n">
        <f aca="false">(IF(DN26&lt;&gt;"",1/2,0)+IF(DO26&lt;&gt;"",1,0))*DQ26*DQ$25*20</f>
        <v>0</v>
      </c>
      <c r="DS26" s="48" t="str">
        <f aca="false">IF(COUNTBLANK(DL26:DO26)=3,1,"")</f>
        <v/>
      </c>
      <c r="DT26" s="74" t="n">
        <f aca="false">IF(DL26="",DQ26,0)</f>
        <v>0.15</v>
      </c>
      <c r="DU26" s="79" t="n">
        <f aca="false">IF(DT26=0,0,DQ26/SUM(DT$26:DT$32))</f>
        <v>0.15</v>
      </c>
      <c r="DV26" s="62"/>
      <c r="DW26" s="62"/>
      <c r="DX26" s="62"/>
      <c r="DY26" s="62"/>
      <c r="DZ26" s="45" t="str">
        <f aca="false">(IF(EC26="","◄",""))</f>
        <v>◄</v>
      </c>
      <c r="EA26" s="72" t="n">
        <v>0.15</v>
      </c>
      <c r="EB26" s="73" t="n">
        <f aca="false">(IF(DX26&lt;&gt;"",1/2,0)+IF(DY26&lt;&gt;"",1,0))*EA26*EA$25*20</f>
        <v>0</v>
      </c>
      <c r="EC26" s="48" t="str">
        <f aca="false">IF(COUNTBLANK(DV26:DY26)=3,1,"")</f>
        <v/>
      </c>
      <c r="ED26" s="74" t="n">
        <f aca="false">IF(DV26="",EA26,0)</f>
        <v>0.15</v>
      </c>
      <c r="EE26" s="79" t="n">
        <f aca="false">IF(ED26=0,0,EA26/SUM(ED$26:ED$32))</f>
        <v>0.15</v>
      </c>
      <c r="EF26" s="62"/>
      <c r="EG26" s="62"/>
      <c r="EH26" s="62"/>
      <c r="EI26" s="62"/>
      <c r="EJ26" s="45" t="str">
        <f aca="false">(IF(EM26="","◄",""))</f>
        <v>◄</v>
      </c>
      <c r="EK26" s="72" t="n">
        <v>0.15</v>
      </c>
      <c r="EL26" s="73" t="n">
        <f aca="false">(IF(EH26&lt;&gt;"",1/2,0)+IF(EI26&lt;&gt;"",1,0))*EK26*EK$25*20</f>
        <v>0</v>
      </c>
      <c r="EM26" s="48" t="str">
        <f aca="false">IF(COUNTBLANK(EF26:EI26)=3,1,"")</f>
        <v/>
      </c>
      <c r="EN26" s="74" t="n">
        <f aca="false">IF(EF26="",EK26,0)</f>
        <v>0.15</v>
      </c>
      <c r="EO26" s="79" t="n">
        <f aca="false">IF(EN26=0,0,EK26/SUM(EN$26:EN$32))</f>
        <v>0.15</v>
      </c>
      <c r="EP26" s="62"/>
      <c r="EQ26" s="62"/>
      <c r="ER26" s="62"/>
      <c r="ES26" s="62"/>
      <c r="ET26" s="45" t="str">
        <f aca="false">(IF(EW26="","◄",""))</f>
        <v>◄</v>
      </c>
      <c r="EU26" s="72" t="n">
        <v>0.15</v>
      </c>
      <c r="EV26" s="73" t="n">
        <f aca="false">(IF(ER26&lt;&gt;"",1/2,0)+IF(ES26&lt;&gt;"",1,0))*EU26*EU$25*20</f>
        <v>0</v>
      </c>
      <c r="EW26" s="48" t="str">
        <f aca="false">IF(COUNTBLANK(EP26:ES26)=3,1,"")</f>
        <v/>
      </c>
      <c r="EX26" s="74" t="n">
        <f aca="false">IF(EP26="",EU26,0)</f>
        <v>0.15</v>
      </c>
      <c r="EY26" s="79" t="n">
        <f aca="false">IF(EX26=0,0,EU26/SUM(EX$26:EX$32))</f>
        <v>0.15</v>
      </c>
      <c r="EZ26" s="62"/>
      <c r="FA26" s="62"/>
      <c r="FB26" s="62"/>
      <c r="FC26" s="62"/>
      <c r="FD26" s="45" t="str">
        <f aca="false">(IF(FG26="","◄",""))</f>
        <v>◄</v>
      </c>
      <c r="FE26" s="72" t="n">
        <v>0.15</v>
      </c>
      <c r="FF26" s="73" t="n">
        <f aca="false">(IF(FB26&lt;&gt;"",1/2,0)+IF(FC26&lt;&gt;"",1,0))*FE26*FE$25*20</f>
        <v>0</v>
      </c>
      <c r="FG26" s="48" t="str">
        <f aca="false">IF(COUNTBLANK(EZ26:FC26)=3,1,"")</f>
        <v/>
      </c>
      <c r="FH26" s="74" t="n">
        <f aca="false">IF(EZ26="",FE26,0)</f>
        <v>0.15</v>
      </c>
      <c r="FI26" s="79" t="n">
        <f aca="false">IF(FH26=0,0,FE26/SUM(FH$26:FH$32))</f>
        <v>0.15</v>
      </c>
      <c r="FJ26" s="62"/>
      <c r="FK26" s="62"/>
      <c r="FL26" s="62"/>
      <c r="FM26" s="62"/>
      <c r="FN26" s="45" t="str">
        <f aca="false">(IF(FQ26="","◄",""))</f>
        <v>◄</v>
      </c>
      <c r="FO26" s="72" t="n">
        <v>0.15</v>
      </c>
      <c r="FP26" s="73" t="n">
        <f aca="false">(IF(FL26&lt;&gt;"",1/2,0)+IF(FM26&lt;&gt;"",1,0))*FO26*FO$25*20</f>
        <v>0</v>
      </c>
      <c r="FQ26" s="48" t="str">
        <f aca="false">IF(COUNTBLANK(FJ26:FM26)=3,1,"")</f>
        <v/>
      </c>
      <c r="FR26" s="74" t="n">
        <f aca="false">IF(FJ26="",FO26,0)</f>
        <v>0.15</v>
      </c>
      <c r="FS26" s="79" t="n">
        <f aca="false">IF(FR26=0,0,FO26/SUM(FR$26:FR$32))</f>
        <v>0.15</v>
      </c>
      <c r="FT26" s="62"/>
      <c r="FU26" s="62"/>
      <c r="FV26" s="62"/>
      <c r="FW26" s="62"/>
      <c r="FX26" s="45" t="str">
        <f aca="false">(IF(GA26="","◄",""))</f>
        <v>◄</v>
      </c>
      <c r="FY26" s="72" t="n">
        <v>0.15</v>
      </c>
      <c r="FZ26" s="73" t="n">
        <f aca="false">(IF(FV26&lt;&gt;"",1/2,0)+IF(FW26&lt;&gt;"",1,0))*FY26*FY$25*20</f>
        <v>0</v>
      </c>
      <c r="GA26" s="48" t="str">
        <f aca="false">IF(COUNTBLANK(FT26:FW26)=3,1,"")</f>
        <v/>
      </c>
      <c r="GB26" s="74" t="n">
        <f aca="false">IF(FT26="",FY26,0)</f>
        <v>0.15</v>
      </c>
      <c r="GC26" s="79" t="n">
        <f aca="false">IF(GB26=0,0,FY26/SUM(GB$26:GB$32))</f>
        <v>0.15</v>
      </c>
      <c r="GD26" s="62"/>
      <c r="GE26" s="62"/>
      <c r="GF26" s="62"/>
      <c r="GG26" s="62"/>
      <c r="GH26" s="45" t="str">
        <f aca="false">(IF(GK26="","◄",""))</f>
        <v>◄</v>
      </c>
      <c r="GI26" s="72" t="n">
        <v>0.15</v>
      </c>
      <c r="GJ26" s="73" t="n">
        <f aca="false">(IF(GF26&lt;&gt;"",1/2,0)+IF(GG26&lt;&gt;"",1,0))*GI26*GI$25*20</f>
        <v>0</v>
      </c>
      <c r="GK26" s="48" t="str">
        <f aca="false">IF(COUNTBLANK(GD26:GG26)=3,1,"")</f>
        <v/>
      </c>
      <c r="GL26" s="74" t="n">
        <f aca="false">IF(GD26="",GI26,0)</f>
        <v>0.15</v>
      </c>
      <c r="GM26" s="79" t="n">
        <f aca="false">IF(GL26=0,0,GI26/SUM(GL$26:GL$32))</f>
        <v>0.15</v>
      </c>
      <c r="GN26" s="62"/>
      <c r="GO26" s="62"/>
      <c r="GP26" s="62"/>
      <c r="GQ26" s="62"/>
      <c r="GR26" s="45" t="str">
        <f aca="false">(IF(GU26="","◄",""))</f>
        <v>◄</v>
      </c>
      <c r="GS26" s="72" t="n">
        <v>0.15</v>
      </c>
      <c r="GT26" s="73" t="n">
        <f aca="false">(IF(GP26&lt;&gt;"",1/2,0)+IF(GQ26&lt;&gt;"",1,0))*GS26*GS$25*20</f>
        <v>0</v>
      </c>
      <c r="GU26" s="48" t="str">
        <f aca="false">IF(COUNTBLANK(GN26:GQ26)=3,1,"")</f>
        <v/>
      </c>
      <c r="GV26" s="74" t="n">
        <f aca="false">IF(GN26="",GS26,0)</f>
        <v>0.15</v>
      </c>
      <c r="GW26" s="79" t="n">
        <f aca="false">IF(GV26=0,0,GS26/SUM(GV$26:GV$32))</f>
        <v>0.15</v>
      </c>
      <c r="GX26" s="62"/>
      <c r="GY26" s="62"/>
      <c r="GZ26" s="62"/>
      <c r="HA26" s="62"/>
      <c r="HB26" s="45" t="str">
        <f aca="false">(IF(HE26="","◄",""))</f>
        <v>◄</v>
      </c>
      <c r="HC26" s="72" t="n">
        <v>0.15</v>
      </c>
      <c r="HD26" s="73" t="n">
        <f aca="false">(IF(GZ26&lt;&gt;"",1/2,0)+IF(HA26&lt;&gt;"",1,0))*HC26*HC$25*20</f>
        <v>0</v>
      </c>
      <c r="HE26" s="48" t="str">
        <f aca="false">IF(COUNTBLANK(GX26:HA26)=3,1,"")</f>
        <v/>
      </c>
      <c r="HF26" s="74" t="n">
        <f aca="false">IF(GX26="",HC26,0)</f>
        <v>0.15</v>
      </c>
      <c r="HG26" s="79" t="n">
        <f aca="false">IF(HF26=0,0,HC26/SUM(HF$26:HF$32))</f>
        <v>0.15</v>
      </c>
      <c r="HH26" s="62"/>
      <c r="HI26" s="62"/>
      <c r="HJ26" s="62"/>
      <c r="HK26" s="62"/>
      <c r="HL26" s="45" t="str">
        <f aca="false">(IF(HO26="","◄",""))</f>
        <v>◄</v>
      </c>
      <c r="HM26" s="72" t="n">
        <v>0.15</v>
      </c>
      <c r="HN26" s="73" t="n">
        <f aca="false">(IF(HJ26&lt;&gt;"",1/2,0)+IF(HK26&lt;&gt;"",1,0))*HM26*HM$25*20</f>
        <v>0</v>
      </c>
      <c r="HO26" s="48" t="str">
        <f aca="false">IF(COUNTBLANK(HH26:HK26)=3,1,"")</f>
        <v/>
      </c>
      <c r="HP26" s="74" t="n">
        <f aca="false">IF(HH26="",HM26,0)</f>
        <v>0.15</v>
      </c>
      <c r="HQ26" s="79" t="n">
        <f aca="false">IF(HP26=0,0,HM26/SUM(HP$26:HP$32))</f>
        <v>0.15</v>
      </c>
      <c r="HR26" s="62"/>
      <c r="HS26" s="62"/>
      <c r="HT26" s="62"/>
      <c r="HU26" s="62"/>
      <c r="HV26" s="45" t="str">
        <f aca="false">(IF(HY26="","◄",""))</f>
        <v>◄</v>
      </c>
      <c r="HW26" s="72" t="n">
        <v>0.15</v>
      </c>
      <c r="HX26" s="73" t="n">
        <f aca="false">(IF(HT26&lt;&gt;"",1/2,0)+IF(HU26&lt;&gt;"",1,0))*HW26*HW$25*20</f>
        <v>0</v>
      </c>
      <c r="HY26" s="48" t="str">
        <f aca="false">IF(COUNTBLANK(HR26:HU26)=3,1,"")</f>
        <v/>
      </c>
      <c r="HZ26" s="74" t="n">
        <f aca="false">IF(HR26="",HW26,0)</f>
        <v>0.15</v>
      </c>
      <c r="IA26" s="79" t="n">
        <f aca="false">IF(HZ26=0,0,HW26/SUM(HZ$26:HZ$32))</f>
        <v>0.15</v>
      </c>
      <c r="IB26" s="62"/>
      <c r="IC26" s="62"/>
      <c r="ID26" s="62"/>
      <c r="IE26" s="62"/>
      <c r="IF26" s="45" t="str">
        <f aca="false">(IF(II26="","◄",""))</f>
        <v>◄</v>
      </c>
      <c r="IG26" s="72" t="n">
        <v>0.15</v>
      </c>
      <c r="IH26" s="73" t="n">
        <f aca="false">(IF(ID26&lt;&gt;"",1/2,0)+IF(IE26&lt;&gt;"",1,0))*IG26*IG$25*20</f>
        <v>0</v>
      </c>
      <c r="II26" s="48" t="str">
        <f aca="false">IF(COUNTBLANK(IB26:IE26)=3,1,"")</f>
        <v/>
      </c>
      <c r="IJ26" s="74" t="n">
        <f aca="false">IF(IB26="",IG26,0)</f>
        <v>0.15</v>
      </c>
      <c r="IK26" s="79" t="n">
        <f aca="false">IF(IJ26=0,0,IG26/SUM(IJ$26:IJ$32))</f>
        <v>0.15</v>
      </c>
    </row>
    <row r="27" customFormat="false" ht="50.25" hidden="false" customHeight="true" outlineLevel="0" collapsed="false">
      <c r="A27" s="39"/>
      <c r="B27" s="40" t="s">
        <v>72</v>
      </c>
      <c r="C27" s="63"/>
      <c r="D27" s="71"/>
      <c r="E27" s="61" t="s">
        <v>73</v>
      </c>
      <c r="F27" s="62"/>
      <c r="G27" s="62"/>
      <c r="H27" s="62"/>
      <c r="I27" s="62"/>
      <c r="J27" s="45" t="str">
        <f aca="false">(IF(M27="","◄",""))</f>
        <v>◄</v>
      </c>
      <c r="K27" s="72" t="n">
        <v>0.15</v>
      </c>
      <c r="L27" s="73" t="n">
        <f aca="false">(IF(H27&lt;&gt;"",1/2,0)+IF(I27&lt;&gt;"",1,0))*K27*K$25*20</f>
        <v>0</v>
      </c>
      <c r="M27" s="48" t="str">
        <f aca="false">IF(COUNTBLANK(F27:I27)=3,1,"")</f>
        <v/>
      </c>
      <c r="N27" s="74" t="n">
        <f aca="false">IF(F27="",K27,0)</f>
        <v>0.15</v>
      </c>
      <c r="O27" s="79" t="n">
        <f aca="false">IF(N27=0,0,K27/SUM(N$26:N$32))</f>
        <v>0.15</v>
      </c>
      <c r="P27" s="62"/>
      <c r="Q27" s="62"/>
      <c r="R27" s="62"/>
      <c r="S27" s="62"/>
      <c r="T27" s="45" t="str">
        <f aca="false">(IF(W27="","◄",""))</f>
        <v>◄</v>
      </c>
      <c r="U27" s="72" t="n">
        <v>0.15</v>
      </c>
      <c r="V27" s="73" t="n">
        <f aca="false">(IF(R27&lt;&gt;"",1/2,0)+IF(S27&lt;&gt;"",1,0))*U27*U$25*20</f>
        <v>0</v>
      </c>
      <c r="W27" s="48" t="str">
        <f aca="false">IF(COUNTBLANK(P27:S27)=3,1,"")</f>
        <v/>
      </c>
      <c r="X27" s="74" t="n">
        <f aca="false">IF(P27="",U27,0)</f>
        <v>0.15</v>
      </c>
      <c r="Y27" s="79" t="n">
        <f aca="false">IF(X27=0,0,U27/SUM(X$26:X$32))</f>
        <v>0.15</v>
      </c>
      <c r="Z27" s="62"/>
      <c r="AA27" s="62"/>
      <c r="AB27" s="62"/>
      <c r="AC27" s="62"/>
      <c r="AD27" s="45" t="str">
        <f aca="false">(IF(AG27="","◄",""))</f>
        <v>◄</v>
      </c>
      <c r="AE27" s="72" t="n">
        <v>0.15</v>
      </c>
      <c r="AF27" s="73" t="n">
        <f aca="false">(IF(AB27&lt;&gt;"",1/2,0)+IF(AC27&lt;&gt;"",1,0))*AE27*AE$25*20</f>
        <v>0</v>
      </c>
      <c r="AG27" s="48" t="str">
        <f aca="false">IF(COUNTBLANK(Z27:AC27)=3,1,"")</f>
        <v/>
      </c>
      <c r="AH27" s="74" t="n">
        <f aca="false">IF(Z27="",AE27,0)</f>
        <v>0.15</v>
      </c>
      <c r="AI27" s="79" t="n">
        <f aca="false">IF(AH27=0,0,AE27/SUM(AH$26:AH$32))</f>
        <v>0.15</v>
      </c>
      <c r="AJ27" s="62"/>
      <c r="AK27" s="62"/>
      <c r="AL27" s="62"/>
      <c r="AM27" s="62"/>
      <c r="AN27" s="45" t="str">
        <f aca="false">(IF(AQ27="","◄",""))</f>
        <v>◄</v>
      </c>
      <c r="AO27" s="72" t="n">
        <v>0.15</v>
      </c>
      <c r="AP27" s="73" t="n">
        <f aca="false">(IF(AL27&lt;&gt;"",1/2,0)+IF(AM27&lt;&gt;"",1,0))*AO27*AO$25*20</f>
        <v>0</v>
      </c>
      <c r="AQ27" s="48" t="str">
        <f aca="false">IF(COUNTBLANK(AJ27:AM27)=3,1,"")</f>
        <v/>
      </c>
      <c r="AR27" s="74" t="n">
        <f aca="false">IF(AJ27="",AO27,0)</f>
        <v>0.15</v>
      </c>
      <c r="AS27" s="79" t="n">
        <f aca="false">IF(AR27=0,0,AO27/SUM(AR$26:AR$32))</f>
        <v>0.15</v>
      </c>
      <c r="AT27" s="62"/>
      <c r="AU27" s="62"/>
      <c r="AV27" s="62"/>
      <c r="AW27" s="62"/>
      <c r="AX27" s="45" t="str">
        <f aca="false">(IF(BA27="","◄",""))</f>
        <v>◄</v>
      </c>
      <c r="AY27" s="72" t="n">
        <v>0.15</v>
      </c>
      <c r="AZ27" s="73" t="n">
        <f aca="false">(IF(AV27&lt;&gt;"",1/2,0)+IF(AW27&lt;&gt;"",1,0))*AY27*AY$25*20</f>
        <v>0</v>
      </c>
      <c r="BA27" s="48" t="str">
        <f aca="false">IF(COUNTBLANK(AT27:AW27)=3,1,"")</f>
        <v/>
      </c>
      <c r="BB27" s="74" t="n">
        <f aca="false">IF(AT27="",AY27,0)</f>
        <v>0.15</v>
      </c>
      <c r="BC27" s="79" t="n">
        <f aca="false">IF(BB27=0,0,AY27/SUM(BB$26:BB$32))</f>
        <v>0.15</v>
      </c>
      <c r="BD27" s="62"/>
      <c r="BE27" s="62"/>
      <c r="BF27" s="62"/>
      <c r="BG27" s="62"/>
      <c r="BH27" s="45" t="str">
        <f aca="false">(IF(BK27="","◄",""))</f>
        <v>◄</v>
      </c>
      <c r="BI27" s="72" t="n">
        <v>0.15</v>
      </c>
      <c r="BJ27" s="73" t="n">
        <f aca="false">(IF(BF27&lt;&gt;"",1/2,0)+IF(BG27&lt;&gt;"",1,0))*BI27*BI$25*20</f>
        <v>0</v>
      </c>
      <c r="BK27" s="48" t="str">
        <f aca="false">IF(COUNTBLANK(BD27:BG27)=3,1,"")</f>
        <v/>
      </c>
      <c r="BL27" s="74" t="n">
        <f aca="false">IF(BD27="",BI27,0)</f>
        <v>0.15</v>
      </c>
      <c r="BM27" s="79" t="n">
        <f aca="false">IF(BL27=0,0,BI27/SUM(BL$26:BL$32))</f>
        <v>0.15</v>
      </c>
      <c r="BN27" s="62"/>
      <c r="BO27" s="62"/>
      <c r="BP27" s="62"/>
      <c r="BQ27" s="62"/>
      <c r="BR27" s="45" t="str">
        <f aca="false">(IF(BU27="","◄",""))</f>
        <v>◄</v>
      </c>
      <c r="BS27" s="72" t="n">
        <v>0.15</v>
      </c>
      <c r="BT27" s="73" t="n">
        <f aca="false">(IF(BP27&lt;&gt;"",1/2,0)+IF(BQ27&lt;&gt;"",1,0))*BS27*BS$25*20</f>
        <v>0</v>
      </c>
      <c r="BU27" s="48" t="str">
        <f aca="false">IF(COUNTBLANK(BN27:BQ27)=3,1,"")</f>
        <v/>
      </c>
      <c r="BV27" s="74" t="n">
        <f aca="false">IF(BN27="",BS27,0)</f>
        <v>0.15</v>
      </c>
      <c r="BW27" s="79" t="n">
        <f aca="false">IF(BV27=0,0,BS27/SUM(BV$26:BV$32))</f>
        <v>0.15</v>
      </c>
      <c r="BX27" s="62"/>
      <c r="BY27" s="62"/>
      <c r="BZ27" s="62"/>
      <c r="CA27" s="62"/>
      <c r="CB27" s="45" t="str">
        <f aca="false">(IF(CE27="","◄",""))</f>
        <v>◄</v>
      </c>
      <c r="CC27" s="72" t="n">
        <v>0.15</v>
      </c>
      <c r="CD27" s="73" t="n">
        <f aca="false">(IF(BZ27&lt;&gt;"",1/2,0)+IF(CA27&lt;&gt;"",1,0))*CC27*CC$25*20</f>
        <v>0</v>
      </c>
      <c r="CE27" s="48" t="str">
        <f aca="false">IF(COUNTBLANK(BX27:CA27)=3,1,"")</f>
        <v/>
      </c>
      <c r="CF27" s="74" t="n">
        <f aca="false">IF(BX27="",CC27,0)</f>
        <v>0.15</v>
      </c>
      <c r="CG27" s="79" t="n">
        <f aca="false">IF(CF27=0,0,CC27/SUM(CF$26:CF$32))</f>
        <v>0.15</v>
      </c>
      <c r="CH27" s="62"/>
      <c r="CI27" s="62"/>
      <c r="CJ27" s="62"/>
      <c r="CK27" s="62"/>
      <c r="CL27" s="45" t="str">
        <f aca="false">(IF(CO27="","◄",""))</f>
        <v>◄</v>
      </c>
      <c r="CM27" s="72" t="n">
        <v>0.15</v>
      </c>
      <c r="CN27" s="73" t="n">
        <f aca="false">(IF(CJ27&lt;&gt;"",1/2,0)+IF(CK27&lt;&gt;"",1,0))*CM27*CM$25*20</f>
        <v>0</v>
      </c>
      <c r="CO27" s="48" t="str">
        <f aca="false">IF(COUNTBLANK(CH27:CK27)=3,1,"")</f>
        <v/>
      </c>
      <c r="CP27" s="74" t="n">
        <f aca="false">IF(CH27="",CM27,0)</f>
        <v>0.15</v>
      </c>
      <c r="CQ27" s="79" t="n">
        <f aca="false">IF(CP27=0,0,CM27/SUM(CP$26:CP$32))</f>
        <v>0.15</v>
      </c>
      <c r="CR27" s="62"/>
      <c r="CS27" s="62"/>
      <c r="CT27" s="62"/>
      <c r="CU27" s="62"/>
      <c r="CV27" s="45" t="str">
        <f aca="false">(IF(CY27="","◄",""))</f>
        <v>◄</v>
      </c>
      <c r="CW27" s="72" t="n">
        <v>0.15</v>
      </c>
      <c r="CX27" s="73" t="n">
        <f aca="false">(IF(CT27&lt;&gt;"",1/2,0)+IF(CU27&lt;&gt;"",1,0))*CW27*CW$25*20</f>
        <v>0</v>
      </c>
      <c r="CY27" s="48" t="str">
        <f aca="false">IF(COUNTBLANK(CR27:CU27)=3,1,"")</f>
        <v/>
      </c>
      <c r="CZ27" s="74" t="n">
        <f aca="false">IF(CR27="",CW27,0)</f>
        <v>0.15</v>
      </c>
      <c r="DA27" s="79" t="n">
        <f aca="false">IF(CZ27=0,0,CW27/SUM(CZ$26:CZ$32))</f>
        <v>0.15</v>
      </c>
      <c r="DB27" s="62"/>
      <c r="DC27" s="62"/>
      <c r="DD27" s="62"/>
      <c r="DE27" s="62"/>
      <c r="DF27" s="45" t="str">
        <f aca="false">(IF(DI27="","◄",""))</f>
        <v>◄</v>
      </c>
      <c r="DG27" s="72" t="n">
        <v>0.15</v>
      </c>
      <c r="DH27" s="73" t="n">
        <f aca="false">(IF(DD27&lt;&gt;"",1/2,0)+IF(DE27&lt;&gt;"",1,0))*DG27*DG$25*20</f>
        <v>0</v>
      </c>
      <c r="DI27" s="48" t="str">
        <f aca="false">IF(COUNTBLANK(DB27:DE27)=3,1,"")</f>
        <v/>
      </c>
      <c r="DJ27" s="74" t="n">
        <f aca="false">IF(DB27="",DG27,0)</f>
        <v>0.15</v>
      </c>
      <c r="DK27" s="79" t="n">
        <f aca="false">IF(DJ27=0,0,DG27/SUM(DJ$26:DJ$32))</f>
        <v>0.15</v>
      </c>
      <c r="DL27" s="62"/>
      <c r="DM27" s="62"/>
      <c r="DN27" s="62"/>
      <c r="DO27" s="62"/>
      <c r="DP27" s="45" t="str">
        <f aca="false">(IF(DS27="","◄",""))</f>
        <v>◄</v>
      </c>
      <c r="DQ27" s="72" t="n">
        <v>0.15</v>
      </c>
      <c r="DR27" s="73" t="n">
        <f aca="false">(IF(DN27&lt;&gt;"",1/2,0)+IF(DO27&lt;&gt;"",1,0))*DQ27*DQ$25*20</f>
        <v>0</v>
      </c>
      <c r="DS27" s="48" t="str">
        <f aca="false">IF(COUNTBLANK(DL27:DO27)=3,1,"")</f>
        <v/>
      </c>
      <c r="DT27" s="74" t="n">
        <f aca="false">IF(DL27="",DQ27,0)</f>
        <v>0.15</v>
      </c>
      <c r="DU27" s="79" t="n">
        <f aca="false">IF(DT27=0,0,DQ27/SUM(DT$26:DT$32))</f>
        <v>0.15</v>
      </c>
      <c r="DV27" s="62"/>
      <c r="DW27" s="62"/>
      <c r="DX27" s="62"/>
      <c r="DY27" s="62"/>
      <c r="DZ27" s="45" t="str">
        <f aca="false">(IF(EC27="","◄",""))</f>
        <v>◄</v>
      </c>
      <c r="EA27" s="72" t="n">
        <v>0.15</v>
      </c>
      <c r="EB27" s="73" t="n">
        <f aca="false">(IF(DX27&lt;&gt;"",1/2,0)+IF(DY27&lt;&gt;"",1,0))*EA27*EA$25*20</f>
        <v>0</v>
      </c>
      <c r="EC27" s="48" t="str">
        <f aca="false">IF(COUNTBLANK(DV27:DY27)=3,1,"")</f>
        <v/>
      </c>
      <c r="ED27" s="74" t="n">
        <f aca="false">IF(DV27="",EA27,0)</f>
        <v>0.15</v>
      </c>
      <c r="EE27" s="79" t="n">
        <f aca="false">IF(ED27=0,0,EA27/SUM(ED$26:ED$32))</f>
        <v>0.15</v>
      </c>
      <c r="EF27" s="62"/>
      <c r="EG27" s="62"/>
      <c r="EH27" s="62"/>
      <c r="EI27" s="62"/>
      <c r="EJ27" s="45" t="str">
        <f aca="false">(IF(EM27="","◄",""))</f>
        <v>◄</v>
      </c>
      <c r="EK27" s="72" t="n">
        <v>0.15</v>
      </c>
      <c r="EL27" s="73" t="n">
        <f aca="false">(IF(EH27&lt;&gt;"",1/2,0)+IF(EI27&lt;&gt;"",1,0))*EK27*EK$25*20</f>
        <v>0</v>
      </c>
      <c r="EM27" s="48" t="str">
        <f aca="false">IF(COUNTBLANK(EF27:EI27)=3,1,"")</f>
        <v/>
      </c>
      <c r="EN27" s="74" t="n">
        <f aca="false">IF(EF27="",EK27,0)</f>
        <v>0.15</v>
      </c>
      <c r="EO27" s="79" t="n">
        <f aca="false">IF(EN27=0,0,EK27/SUM(EN$26:EN$32))</f>
        <v>0.15</v>
      </c>
      <c r="EP27" s="62"/>
      <c r="EQ27" s="62"/>
      <c r="ER27" s="62"/>
      <c r="ES27" s="62"/>
      <c r="ET27" s="45" t="str">
        <f aca="false">(IF(EW27="","◄",""))</f>
        <v>◄</v>
      </c>
      <c r="EU27" s="72" t="n">
        <v>0.15</v>
      </c>
      <c r="EV27" s="73" t="n">
        <f aca="false">(IF(ER27&lt;&gt;"",1/2,0)+IF(ES27&lt;&gt;"",1,0))*EU27*EU$25*20</f>
        <v>0</v>
      </c>
      <c r="EW27" s="48" t="str">
        <f aca="false">IF(COUNTBLANK(EP27:ES27)=3,1,"")</f>
        <v/>
      </c>
      <c r="EX27" s="74" t="n">
        <f aca="false">IF(EP27="",EU27,0)</f>
        <v>0.15</v>
      </c>
      <c r="EY27" s="79" t="n">
        <f aca="false">IF(EX27=0,0,EU27/SUM(EX$26:EX$32))</f>
        <v>0.15</v>
      </c>
      <c r="EZ27" s="62"/>
      <c r="FA27" s="62"/>
      <c r="FB27" s="62"/>
      <c r="FC27" s="62"/>
      <c r="FD27" s="45" t="str">
        <f aca="false">(IF(FG27="","◄",""))</f>
        <v>◄</v>
      </c>
      <c r="FE27" s="72" t="n">
        <v>0.15</v>
      </c>
      <c r="FF27" s="73" t="n">
        <f aca="false">(IF(FB27&lt;&gt;"",1/2,0)+IF(FC27&lt;&gt;"",1,0))*FE27*FE$25*20</f>
        <v>0</v>
      </c>
      <c r="FG27" s="48" t="str">
        <f aca="false">IF(COUNTBLANK(EZ27:FC27)=3,1,"")</f>
        <v/>
      </c>
      <c r="FH27" s="74" t="n">
        <f aca="false">IF(EZ27="",FE27,0)</f>
        <v>0.15</v>
      </c>
      <c r="FI27" s="79" t="n">
        <f aca="false">IF(FH27=0,0,FE27/SUM(FH$26:FH$32))</f>
        <v>0.15</v>
      </c>
      <c r="FJ27" s="62"/>
      <c r="FK27" s="62"/>
      <c r="FL27" s="62"/>
      <c r="FM27" s="62"/>
      <c r="FN27" s="45" t="str">
        <f aca="false">(IF(FQ27="","◄",""))</f>
        <v>◄</v>
      </c>
      <c r="FO27" s="72" t="n">
        <v>0.15</v>
      </c>
      <c r="FP27" s="73" t="n">
        <f aca="false">(IF(FL27&lt;&gt;"",1/2,0)+IF(FM27&lt;&gt;"",1,0))*FO27*FO$25*20</f>
        <v>0</v>
      </c>
      <c r="FQ27" s="48" t="str">
        <f aca="false">IF(COUNTBLANK(FJ27:FM27)=3,1,"")</f>
        <v/>
      </c>
      <c r="FR27" s="74" t="n">
        <f aca="false">IF(FJ27="",FO27,0)</f>
        <v>0.15</v>
      </c>
      <c r="FS27" s="79" t="n">
        <f aca="false">IF(FR27=0,0,FO27/SUM(FR$26:FR$32))</f>
        <v>0.15</v>
      </c>
      <c r="FT27" s="62"/>
      <c r="FU27" s="62"/>
      <c r="FV27" s="62"/>
      <c r="FW27" s="62"/>
      <c r="FX27" s="45" t="str">
        <f aca="false">(IF(GA27="","◄",""))</f>
        <v>◄</v>
      </c>
      <c r="FY27" s="72" t="n">
        <v>0.15</v>
      </c>
      <c r="FZ27" s="73" t="n">
        <f aca="false">(IF(FV27&lt;&gt;"",1/2,0)+IF(FW27&lt;&gt;"",1,0))*FY27*FY$25*20</f>
        <v>0</v>
      </c>
      <c r="GA27" s="48" t="str">
        <f aca="false">IF(COUNTBLANK(FT27:FW27)=3,1,"")</f>
        <v/>
      </c>
      <c r="GB27" s="74" t="n">
        <f aca="false">IF(FT27="",FY27,0)</f>
        <v>0.15</v>
      </c>
      <c r="GC27" s="79" t="n">
        <f aca="false">IF(GB27=0,0,FY27/SUM(GB$26:GB$32))</f>
        <v>0.15</v>
      </c>
      <c r="GD27" s="62"/>
      <c r="GE27" s="62"/>
      <c r="GF27" s="62"/>
      <c r="GG27" s="62"/>
      <c r="GH27" s="45" t="str">
        <f aca="false">(IF(GK27="","◄",""))</f>
        <v>◄</v>
      </c>
      <c r="GI27" s="72" t="n">
        <v>0.15</v>
      </c>
      <c r="GJ27" s="73" t="n">
        <f aca="false">(IF(GF27&lt;&gt;"",1/2,0)+IF(GG27&lt;&gt;"",1,0))*GI27*GI$25*20</f>
        <v>0</v>
      </c>
      <c r="GK27" s="48" t="str">
        <f aca="false">IF(COUNTBLANK(GD27:GG27)=3,1,"")</f>
        <v/>
      </c>
      <c r="GL27" s="74" t="n">
        <f aca="false">IF(GD27="",GI27,0)</f>
        <v>0.15</v>
      </c>
      <c r="GM27" s="79" t="n">
        <f aca="false">IF(GL27=0,0,GI27/SUM(GL$26:GL$32))</f>
        <v>0.15</v>
      </c>
      <c r="GN27" s="62"/>
      <c r="GO27" s="62"/>
      <c r="GP27" s="62"/>
      <c r="GQ27" s="62"/>
      <c r="GR27" s="45" t="str">
        <f aca="false">(IF(GU27="","◄",""))</f>
        <v>◄</v>
      </c>
      <c r="GS27" s="72" t="n">
        <v>0.15</v>
      </c>
      <c r="GT27" s="73" t="n">
        <f aca="false">(IF(GP27&lt;&gt;"",1/2,0)+IF(GQ27&lt;&gt;"",1,0))*GS27*GS$25*20</f>
        <v>0</v>
      </c>
      <c r="GU27" s="48" t="str">
        <f aca="false">IF(COUNTBLANK(GN27:GQ27)=3,1,"")</f>
        <v/>
      </c>
      <c r="GV27" s="74" t="n">
        <f aca="false">IF(GN27="",GS27,0)</f>
        <v>0.15</v>
      </c>
      <c r="GW27" s="79" t="n">
        <f aca="false">IF(GV27=0,0,GS27/SUM(GV$26:GV$32))</f>
        <v>0.15</v>
      </c>
      <c r="GX27" s="62"/>
      <c r="GY27" s="62"/>
      <c r="GZ27" s="62"/>
      <c r="HA27" s="62"/>
      <c r="HB27" s="45" t="str">
        <f aca="false">(IF(HE27="","◄",""))</f>
        <v>◄</v>
      </c>
      <c r="HC27" s="72" t="n">
        <v>0.15</v>
      </c>
      <c r="HD27" s="73" t="n">
        <f aca="false">(IF(GZ27&lt;&gt;"",1/2,0)+IF(HA27&lt;&gt;"",1,0))*HC27*HC$25*20</f>
        <v>0</v>
      </c>
      <c r="HE27" s="48" t="str">
        <f aca="false">IF(COUNTBLANK(GX27:HA27)=3,1,"")</f>
        <v/>
      </c>
      <c r="HF27" s="74" t="n">
        <f aca="false">IF(GX27="",HC27,0)</f>
        <v>0.15</v>
      </c>
      <c r="HG27" s="79" t="n">
        <f aca="false">IF(HF27=0,0,HC27/SUM(HF$26:HF$32))</f>
        <v>0.15</v>
      </c>
      <c r="HH27" s="62"/>
      <c r="HI27" s="62"/>
      <c r="HJ27" s="62"/>
      <c r="HK27" s="62"/>
      <c r="HL27" s="45" t="str">
        <f aca="false">(IF(HO27="","◄",""))</f>
        <v>◄</v>
      </c>
      <c r="HM27" s="72" t="n">
        <v>0.15</v>
      </c>
      <c r="HN27" s="73" t="n">
        <f aca="false">(IF(HJ27&lt;&gt;"",1/2,0)+IF(HK27&lt;&gt;"",1,0))*HM27*HM$25*20</f>
        <v>0</v>
      </c>
      <c r="HO27" s="48" t="str">
        <f aca="false">IF(COUNTBLANK(HH27:HK27)=3,1,"")</f>
        <v/>
      </c>
      <c r="HP27" s="74" t="n">
        <f aca="false">IF(HH27="",HM27,0)</f>
        <v>0.15</v>
      </c>
      <c r="HQ27" s="79" t="n">
        <f aca="false">IF(HP27=0,0,HM27/SUM(HP$26:HP$32))</f>
        <v>0.15</v>
      </c>
      <c r="HR27" s="62"/>
      <c r="HS27" s="62"/>
      <c r="HT27" s="62"/>
      <c r="HU27" s="62"/>
      <c r="HV27" s="45" t="str">
        <f aca="false">(IF(HY27="","◄",""))</f>
        <v>◄</v>
      </c>
      <c r="HW27" s="72" t="n">
        <v>0.15</v>
      </c>
      <c r="HX27" s="73" t="n">
        <f aca="false">(IF(HT27&lt;&gt;"",1/2,0)+IF(HU27&lt;&gt;"",1,0))*HW27*HW$25*20</f>
        <v>0</v>
      </c>
      <c r="HY27" s="48" t="str">
        <f aca="false">IF(COUNTBLANK(HR27:HU27)=3,1,"")</f>
        <v/>
      </c>
      <c r="HZ27" s="74" t="n">
        <f aca="false">IF(HR27="",HW27,0)</f>
        <v>0.15</v>
      </c>
      <c r="IA27" s="79" t="n">
        <f aca="false">IF(HZ27=0,0,HW27/SUM(HZ$26:HZ$32))</f>
        <v>0.15</v>
      </c>
      <c r="IB27" s="62"/>
      <c r="IC27" s="62"/>
      <c r="ID27" s="62"/>
      <c r="IE27" s="62"/>
      <c r="IF27" s="45" t="str">
        <f aca="false">(IF(II27="","◄",""))</f>
        <v>◄</v>
      </c>
      <c r="IG27" s="72" t="n">
        <v>0.15</v>
      </c>
      <c r="IH27" s="73" t="n">
        <f aca="false">(IF(ID27&lt;&gt;"",1/2,0)+IF(IE27&lt;&gt;"",1,0))*IG27*IG$25*20</f>
        <v>0</v>
      </c>
      <c r="II27" s="48" t="str">
        <f aca="false">IF(COUNTBLANK(IB27:IE27)=3,1,"")</f>
        <v/>
      </c>
      <c r="IJ27" s="74" t="n">
        <f aca="false">IF(IB27="",IG27,0)</f>
        <v>0.15</v>
      </c>
      <c r="IK27" s="79" t="n">
        <f aca="false">IF(IJ27=0,0,IG27/SUM(IJ$26:IJ$32))</f>
        <v>0.15</v>
      </c>
    </row>
    <row r="28" customFormat="false" ht="49.5" hidden="false" customHeight="true" outlineLevel="0" collapsed="false">
      <c r="A28" s="39"/>
      <c r="B28" s="40"/>
      <c r="C28" s="63"/>
      <c r="D28" s="71"/>
      <c r="E28" s="61" t="s">
        <v>73</v>
      </c>
      <c r="F28" s="62"/>
      <c r="G28" s="62"/>
      <c r="H28" s="62"/>
      <c r="I28" s="62"/>
      <c r="J28" s="45" t="str">
        <f aca="false">(IF(M28="","◄",""))</f>
        <v>◄</v>
      </c>
      <c r="K28" s="72" t="n">
        <v>0.15</v>
      </c>
      <c r="L28" s="73" t="n">
        <f aca="false">(IF(H28&lt;&gt;"",1/2,0)+IF(I28&lt;&gt;"",1,0))*K28*K$25*20</f>
        <v>0</v>
      </c>
      <c r="M28" s="48" t="str">
        <f aca="false">IF(COUNTBLANK(F28:I28)=3,1,"")</f>
        <v/>
      </c>
      <c r="N28" s="74" t="n">
        <f aca="false">IF(F28="",K28,0)</f>
        <v>0.15</v>
      </c>
      <c r="O28" s="79" t="n">
        <f aca="false">IF(N28=0,0,K28/SUM(N$26:N$32))</f>
        <v>0.15</v>
      </c>
      <c r="P28" s="62"/>
      <c r="Q28" s="62"/>
      <c r="R28" s="62"/>
      <c r="S28" s="62"/>
      <c r="T28" s="45" t="str">
        <f aca="false">(IF(W28="","◄",""))</f>
        <v>◄</v>
      </c>
      <c r="U28" s="72" t="n">
        <v>0.15</v>
      </c>
      <c r="V28" s="73" t="n">
        <f aca="false">(IF(R28&lt;&gt;"",1/2,0)+IF(S28&lt;&gt;"",1,0))*U28*U$25*20</f>
        <v>0</v>
      </c>
      <c r="W28" s="48" t="str">
        <f aca="false">IF(COUNTBLANK(P28:S28)=3,1,"")</f>
        <v/>
      </c>
      <c r="X28" s="74" t="n">
        <f aca="false">IF(P28="",U28,0)</f>
        <v>0.15</v>
      </c>
      <c r="Y28" s="79" t="n">
        <f aca="false">IF(X28=0,0,U28/SUM(X$26:X$32))</f>
        <v>0.15</v>
      </c>
      <c r="Z28" s="62"/>
      <c r="AA28" s="62"/>
      <c r="AB28" s="62"/>
      <c r="AC28" s="62"/>
      <c r="AD28" s="45" t="str">
        <f aca="false">(IF(AG28="","◄",""))</f>
        <v>◄</v>
      </c>
      <c r="AE28" s="72" t="n">
        <v>0.15</v>
      </c>
      <c r="AF28" s="73" t="n">
        <f aca="false">(IF(AB28&lt;&gt;"",1/2,0)+IF(AC28&lt;&gt;"",1,0))*AE28*AE$25*20</f>
        <v>0</v>
      </c>
      <c r="AG28" s="48" t="str">
        <f aca="false">IF(COUNTBLANK(Z28:AC28)=3,1,"")</f>
        <v/>
      </c>
      <c r="AH28" s="74" t="n">
        <f aca="false">IF(Z28="",AE28,0)</f>
        <v>0.15</v>
      </c>
      <c r="AI28" s="79" t="n">
        <f aca="false">IF(AH28=0,0,AE28/SUM(AH$26:AH$32))</f>
        <v>0.15</v>
      </c>
      <c r="AJ28" s="62"/>
      <c r="AK28" s="62"/>
      <c r="AL28" s="62"/>
      <c r="AM28" s="62"/>
      <c r="AN28" s="45" t="str">
        <f aca="false">(IF(AQ28="","◄",""))</f>
        <v>◄</v>
      </c>
      <c r="AO28" s="72" t="n">
        <v>0.15</v>
      </c>
      <c r="AP28" s="73" t="n">
        <f aca="false">(IF(AL28&lt;&gt;"",1/2,0)+IF(AM28&lt;&gt;"",1,0))*AO28*AO$25*20</f>
        <v>0</v>
      </c>
      <c r="AQ28" s="48" t="str">
        <f aca="false">IF(COUNTBLANK(AJ28:AM28)=3,1,"")</f>
        <v/>
      </c>
      <c r="AR28" s="74" t="n">
        <f aca="false">IF(AJ28="",AO28,0)</f>
        <v>0.15</v>
      </c>
      <c r="AS28" s="79" t="n">
        <f aca="false">IF(AR28=0,0,AO28/SUM(AR$26:AR$32))</f>
        <v>0.15</v>
      </c>
      <c r="AT28" s="62"/>
      <c r="AU28" s="62"/>
      <c r="AV28" s="62"/>
      <c r="AW28" s="62"/>
      <c r="AX28" s="45" t="str">
        <f aca="false">(IF(BA28="","◄",""))</f>
        <v>◄</v>
      </c>
      <c r="AY28" s="72" t="n">
        <v>0.15</v>
      </c>
      <c r="AZ28" s="73" t="n">
        <f aca="false">(IF(AV28&lt;&gt;"",1/2,0)+IF(AW28&lt;&gt;"",1,0))*AY28*AY$25*20</f>
        <v>0</v>
      </c>
      <c r="BA28" s="48" t="str">
        <f aca="false">IF(COUNTBLANK(AT28:AW28)=3,1,"")</f>
        <v/>
      </c>
      <c r="BB28" s="74" t="n">
        <f aca="false">IF(AT28="",AY28,0)</f>
        <v>0.15</v>
      </c>
      <c r="BC28" s="79" t="n">
        <f aca="false">IF(BB28=0,0,AY28/SUM(BB$26:BB$32))</f>
        <v>0.15</v>
      </c>
      <c r="BD28" s="62"/>
      <c r="BE28" s="62"/>
      <c r="BF28" s="62"/>
      <c r="BG28" s="62"/>
      <c r="BH28" s="45" t="str">
        <f aca="false">(IF(BK28="","◄",""))</f>
        <v>◄</v>
      </c>
      <c r="BI28" s="72" t="n">
        <v>0.15</v>
      </c>
      <c r="BJ28" s="73" t="n">
        <f aca="false">(IF(BF28&lt;&gt;"",1/2,0)+IF(BG28&lt;&gt;"",1,0))*BI28*BI$25*20</f>
        <v>0</v>
      </c>
      <c r="BK28" s="48" t="str">
        <f aca="false">IF(COUNTBLANK(BD28:BG28)=3,1,"")</f>
        <v/>
      </c>
      <c r="BL28" s="74" t="n">
        <f aca="false">IF(BD28="",BI28,0)</f>
        <v>0.15</v>
      </c>
      <c r="BM28" s="79" t="n">
        <f aca="false">IF(BL28=0,0,BI28/SUM(BL$26:BL$32))</f>
        <v>0.15</v>
      </c>
      <c r="BN28" s="62"/>
      <c r="BO28" s="62"/>
      <c r="BP28" s="62"/>
      <c r="BQ28" s="62"/>
      <c r="BR28" s="45" t="str">
        <f aca="false">(IF(BU28="","◄",""))</f>
        <v>◄</v>
      </c>
      <c r="BS28" s="72" t="n">
        <v>0.15</v>
      </c>
      <c r="BT28" s="73" t="n">
        <f aca="false">(IF(BP28&lt;&gt;"",1/2,0)+IF(BQ28&lt;&gt;"",1,0))*BS28*BS$25*20</f>
        <v>0</v>
      </c>
      <c r="BU28" s="48" t="str">
        <f aca="false">IF(COUNTBLANK(BN28:BQ28)=3,1,"")</f>
        <v/>
      </c>
      <c r="BV28" s="74" t="n">
        <f aca="false">IF(BN28="",BS28,0)</f>
        <v>0.15</v>
      </c>
      <c r="BW28" s="79" t="n">
        <f aca="false">IF(BV28=0,0,BS28/SUM(BV$26:BV$32))</f>
        <v>0.15</v>
      </c>
      <c r="BX28" s="62"/>
      <c r="BY28" s="62"/>
      <c r="BZ28" s="62"/>
      <c r="CA28" s="62"/>
      <c r="CB28" s="45" t="str">
        <f aca="false">(IF(CE28="","◄",""))</f>
        <v>◄</v>
      </c>
      <c r="CC28" s="72" t="n">
        <v>0.15</v>
      </c>
      <c r="CD28" s="73" t="n">
        <f aca="false">(IF(BZ28&lt;&gt;"",1/2,0)+IF(CA28&lt;&gt;"",1,0))*CC28*CC$25*20</f>
        <v>0</v>
      </c>
      <c r="CE28" s="48" t="str">
        <f aca="false">IF(COUNTBLANK(BX28:CA28)=3,1,"")</f>
        <v/>
      </c>
      <c r="CF28" s="74" t="n">
        <f aca="false">IF(BX28="",CC28,0)</f>
        <v>0.15</v>
      </c>
      <c r="CG28" s="79" t="n">
        <f aca="false">IF(CF28=0,0,CC28/SUM(CF$26:CF$32))</f>
        <v>0.15</v>
      </c>
      <c r="CH28" s="62"/>
      <c r="CI28" s="62"/>
      <c r="CJ28" s="62"/>
      <c r="CK28" s="62"/>
      <c r="CL28" s="45" t="str">
        <f aca="false">(IF(CO28="","◄",""))</f>
        <v>◄</v>
      </c>
      <c r="CM28" s="72" t="n">
        <v>0.15</v>
      </c>
      <c r="CN28" s="73" t="n">
        <f aca="false">(IF(CJ28&lt;&gt;"",1/2,0)+IF(CK28&lt;&gt;"",1,0))*CM28*CM$25*20</f>
        <v>0</v>
      </c>
      <c r="CO28" s="48" t="str">
        <f aca="false">IF(COUNTBLANK(CH28:CK28)=3,1,"")</f>
        <v/>
      </c>
      <c r="CP28" s="74" t="n">
        <f aca="false">IF(CH28="",CM28,0)</f>
        <v>0.15</v>
      </c>
      <c r="CQ28" s="79" t="n">
        <f aca="false">IF(CP28=0,0,CM28/SUM(CP$26:CP$32))</f>
        <v>0.15</v>
      </c>
      <c r="CR28" s="62"/>
      <c r="CS28" s="62"/>
      <c r="CT28" s="62"/>
      <c r="CU28" s="62"/>
      <c r="CV28" s="45" t="str">
        <f aca="false">(IF(CY28="","◄",""))</f>
        <v>◄</v>
      </c>
      <c r="CW28" s="72" t="n">
        <v>0.15</v>
      </c>
      <c r="CX28" s="73" t="n">
        <f aca="false">(IF(CT28&lt;&gt;"",1/2,0)+IF(CU28&lt;&gt;"",1,0))*CW28*CW$25*20</f>
        <v>0</v>
      </c>
      <c r="CY28" s="48" t="str">
        <f aca="false">IF(COUNTBLANK(CR28:CU28)=3,1,"")</f>
        <v/>
      </c>
      <c r="CZ28" s="74" t="n">
        <f aca="false">IF(CR28="",CW28,0)</f>
        <v>0.15</v>
      </c>
      <c r="DA28" s="79" t="n">
        <f aca="false">IF(CZ28=0,0,CW28/SUM(CZ$26:CZ$32))</f>
        <v>0.15</v>
      </c>
      <c r="DB28" s="62"/>
      <c r="DC28" s="62"/>
      <c r="DD28" s="62"/>
      <c r="DE28" s="62"/>
      <c r="DF28" s="45" t="str">
        <f aca="false">(IF(DI28="","◄",""))</f>
        <v>◄</v>
      </c>
      <c r="DG28" s="72" t="n">
        <v>0.15</v>
      </c>
      <c r="DH28" s="73" t="n">
        <f aca="false">(IF(DD28&lt;&gt;"",1/2,0)+IF(DE28&lt;&gt;"",1,0))*DG28*DG$25*20</f>
        <v>0</v>
      </c>
      <c r="DI28" s="48" t="str">
        <f aca="false">IF(COUNTBLANK(DB28:DE28)=3,1,"")</f>
        <v/>
      </c>
      <c r="DJ28" s="74" t="n">
        <f aca="false">IF(DB28="",DG28,0)</f>
        <v>0.15</v>
      </c>
      <c r="DK28" s="79" t="n">
        <f aca="false">IF(DJ28=0,0,DG28/SUM(DJ$26:DJ$32))</f>
        <v>0.15</v>
      </c>
      <c r="DL28" s="62"/>
      <c r="DM28" s="62"/>
      <c r="DN28" s="62"/>
      <c r="DO28" s="62"/>
      <c r="DP28" s="45" t="str">
        <f aca="false">(IF(DS28="","◄",""))</f>
        <v>◄</v>
      </c>
      <c r="DQ28" s="72" t="n">
        <v>0.15</v>
      </c>
      <c r="DR28" s="73" t="n">
        <f aca="false">(IF(DN28&lt;&gt;"",1/2,0)+IF(DO28&lt;&gt;"",1,0))*DQ28*DQ$25*20</f>
        <v>0</v>
      </c>
      <c r="DS28" s="48" t="str">
        <f aca="false">IF(COUNTBLANK(DL28:DO28)=3,1,"")</f>
        <v/>
      </c>
      <c r="DT28" s="74" t="n">
        <f aca="false">IF(DL28="",DQ28,0)</f>
        <v>0.15</v>
      </c>
      <c r="DU28" s="79" t="n">
        <f aca="false">IF(DT28=0,0,DQ28/SUM(DT$26:DT$32))</f>
        <v>0.15</v>
      </c>
      <c r="DV28" s="62"/>
      <c r="DW28" s="62"/>
      <c r="DX28" s="62"/>
      <c r="DY28" s="62"/>
      <c r="DZ28" s="45" t="str">
        <f aca="false">(IF(EC28="","◄",""))</f>
        <v>◄</v>
      </c>
      <c r="EA28" s="72" t="n">
        <v>0.15</v>
      </c>
      <c r="EB28" s="73" t="n">
        <f aca="false">(IF(DX28&lt;&gt;"",1/2,0)+IF(DY28&lt;&gt;"",1,0))*EA28*EA$25*20</f>
        <v>0</v>
      </c>
      <c r="EC28" s="48" t="str">
        <f aca="false">IF(COUNTBLANK(DV28:DY28)=3,1,"")</f>
        <v/>
      </c>
      <c r="ED28" s="74" t="n">
        <f aca="false">IF(DV28="",EA28,0)</f>
        <v>0.15</v>
      </c>
      <c r="EE28" s="79" t="n">
        <f aca="false">IF(ED28=0,0,EA28/SUM(ED$26:ED$32))</f>
        <v>0.15</v>
      </c>
      <c r="EF28" s="62"/>
      <c r="EG28" s="62"/>
      <c r="EH28" s="62"/>
      <c r="EI28" s="62"/>
      <c r="EJ28" s="45" t="str">
        <f aca="false">(IF(EM28="","◄",""))</f>
        <v>◄</v>
      </c>
      <c r="EK28" s="72" t="n">
        <v>0.15</v>
      </c>
      <c r="EL28" s="73" t="n">
        <f aca="false">(IF(EH28&lt;&gt;"",1/2,0)+IF(EI28&lt;&gt;"",1,0))*EK28*EK$25*20</f>
        <v>0</v>
      </c>
      <c r="EM28" s="48" t="str">
        <f aca="false">IF(COUNTBLANK(EF28:EI28)=3,1,"")</f>
        <v/>
      </c>
      <c r="EN28" s="74" t="n">
        <f aca="false">IF(EF28="",EK28,0)</f>
        <v>0.15</v>
      </c>
      <c r="EO28" s="79" t="n">
        <f aca="false">IF(EN28=0,0,EK28/SUM(EN$26:EN$32))</f>
        <v>0.15</v>
      </c>
      <c r="EP28" s="62"/>
      <c r="EQ28" s="62"/>
      <c r="ER28" s="62"/>
      <c r="ES28" s="62"/>
      <c r="ET28" s="45" t="str">
        <f aca="false">(IF(EW28="","◄",""))</f>
        <v>◄</v>
      </c>
      <c r="EU28" s="72" t="n">
        <v>0.15</v>
      </c>
      <c r="EV28" s="73" t="n">
        <f aca="false">(IF(ER28&lt;&gt;"",1/2,0)+IF(ES28&lt;&gt;"",1,0))*EU28*EU$25*20</f>
        <v>0</v>
      </c>
      <c r="EW28" s="48" t="str">
        <f aca="false">IF(COUNTBLANK(EP28:ES28)=3,1,"")</f>
        <v/>
      </c>
      <c r="EX28" s="74" t="n">
        <f aca="false">IF(EP28="",EU28,0)</f>
        <v>0.15</v>
      </c>
      <c r="EY28" s="79" t="n">
        <f aca="false">IF(EX28=0,0,EU28/SUM(EX$26:EX$32))</f>
        <v>0.15</v>
      </c>
      <c r="EZ28" s="62"/>
      <c r="FA28" s="62"/>
      <c r="FB28" s="62"/>
      <c r="FC28" s="62"/>
      <c r="FD28" s="45" t="str">
        <f aca="false">(IF(FG28="","◄",""))</f>
        <v>◄</v>
      </c>
      <c r="FE28" s="72" t="n">
        <v>0.15</v>
      </c>
      <c r="FF28" s="73" t="n">
        <f aca="false">(IF(FB28&lt;&gt;"",1/2,0)+IF(FC28&lt;&gt;"",1,0))*FE28*FE$25*20</f>
        <v>0</v>
      </c>
      <c r="FG28" s="48" t="str">
        <f aca="false">IF(COUNTBLANK(EZ28:FC28)=3,1,"")</f>
        <v/>
      </c>
      <c r="FH28" s="74" t="n">
        <f aca="false">IF(EZ28="",FE28,0)</f>
        <v>0.15</v>
      </c>
      <c r="FI28" s="79" t="n">
        <f aca="false">IF(FH28=0,0,FE28/SUM(FH$26:FH$32))</f>
        <v>0.15</v>
      </c>
      <c r="FJ28" s="62"/>
      <c r="FK28" s="62"/>
      <c r="FL28" s="62"/>
      <c r="FM28" s="62"/>
      <c r="FN28" s="45" t="str">
        <f aca="false">(IF(FQ28="","◄",""))</f>
        <v>◄</v>
      </c>
      <c r="FO28" s="72" t="n">
        <v>0.15</v>
      </c>
      <c r="FP28" s="73" t="n">
        <f aca="false">(IF(FL28&lt;&gt;"",1/2,0)+IF(FM28&lt;&gt;"",1,0))*FO28*FO$25*20</f>
        <v>0</v>
      </c>
      <c r="FQ28" s="48" t="str">
        <f aca="false">IF(COUNTBLANK(FJ28:FM28)=3,1,"")</f>
        <v/>
      </c>
      <c r="FR28" s="74" t="n">
        <f aca="false">IF(FJ28="",FO28,0)</f>
        <v>0.15</v>
      </c>
      <c r="FS28" s="79" t="n">
        <f aca="false">IF(FR28=0,0,FO28/SUM(FR$26:FR$32))</f>
        <v>0.15</v>
      </c>
      <c r="FT28" s="62"/>
      <c r="FU28" s="62"/>
      <c r="FV28" s="62"/>
      <c r="FW28" s="62"/>
      <c r="FX28" s="45" t="str">
        <f aca="false">(IF(GA28="","◄",""))</f>
        <v>◄</v>
      </c>
      <c r="FY28" s="72" t="n">
        <v>0.15</v>
      </c>
      <c r="FZ28" s="73" t="n">
        <f aca="false">(IF(FV28&lt;&gt;"",1/2,0)+IF(FW28&lt;&gt;"",1,0))*FY28*FY$25*20</f>
        <v>0</v>
      </c>
      <c r="GA28" s="48" t="str">
        <f aca="false">IF(COUNTBLANK(FT28:FW28)=3,1,"")</f>
        <v/>
      </c>
      <c r="GB28" s="74" t="n">
        <f aca="false">IF(FT28="",FY28,0)</f>
        <v>0.15</v>
      </c>
      <c r="GC28" s="79" t="n">
        <f aca="false">IF(GB28=0,0,FY28/SUM(GB$26:GB$32))</f>
        <v>0.15</v>
      </c>
      <c r="GD28" s="62"/>
      <c r="GE28" s="62"/>
      <c r="GF28" s="62"/>
      <c r="GG28" s="62"/>
      <c r="GH28" s="45" t="str">
        <f aca="false">(IF(GK28="","◄",""))</f>
        <v>◄</v>
      </c>
      <c r="GI28" s="72" t="n">
        <v>0.15</v>
      </c>
      <c r="GJ28" s="73" t="n">
        <f aca="false">(IF(GF28&lt;&gt;"",1/2,0)+IF(GG28&lt;&gt;"",1,0))*GI28*GI$25*20</f>
        <v>0</v>
      </c>
      <c r="GK28" s="48" t="str">
        <f aca="false">IF(COUNTBLANK(GD28:GG28)=3,1,"")</f>
        <v/>
      </c>
      <c r="GL28" s="74" t="n">
        <f aca="false">IF(GD28="",GI28,0)</f>
        <v>0.15</v>
      </c>
      <c r="GM28" s="79" t="n">
        <f aca="false">IF(GL28=0,0,GI28/SUM(GL$26:GL$32))</f>
        <v>0.15</v>
      </c>
      <c r="GN28" s="62"/>
      <c r="GO28" s="62"/>
      <c r="GP28" s="62"/>
      <c r="GQ28" s="62"/>
      <c r="GR28" s="45" t="str">
        <f aca="false">(IF(GU28="","◄",""))</f>
        <v>◄</v>
      </c>
      <c r="GS28" s="72" t="n">
        <v>0.15</v>
      </c>
      <c r="GT28" s="73" t="n">
        <f aca="false">(IF(GP28&lt;&gt;"",1/2,0)+IF(GQ28&lt;&gt;"",1,0))*GS28*GS$25*20</f>
        <v>0</v>
      </c>
      <c r="GU28" s="48" t="str">
        <f aca="false">IF(COUNTBLANK(GN28:GQ28)=3,1,"")</f>
        <v/>
      </c>
      <c r="GV28" s="74" t="n">
        <f aca="false">IF(GN28="",GS28,0)</f>
        <v>0.15</v>
      </c>
      <c r="GW28" s="79" t="n">
        <f aca="false">IF(GV28=0,0,GS28/SUM(GV$26:GV$32))</f>
        <v>0.15</v>
      </c>
      <c r="GX28" s="62"/>
      <c r="GY28" s="62"/>
      <c r="GZ28" s="62"/>
      <c r="HA28" s="62"/>
      <c r="HB28" s="45" t="str">
        <f aca="false">(IF(HE28="","◄",""))</f>
        <v>◄</v>
      </c>
      <c r="HC28" s="72" t="n">
        <v>0.15</v>
      </c>
      <c r="HD28" s="73" t="n">
        <f aca="false">(IF(GZ28&lt;&gt;"",1/2,0)+IF(HA28&lt;&gt;"",1,0))*HC28*HC$25*20</f>
        <v>0</v>
      </c>
      <c r="HE28" s="48" t="str">
        <f aca="false">IF(COUNTBLANK(GX28:HA28)=3,1,"")</f>
        <v/>
      </c>
      <c r="HF28" s="74" t="n">
        <f aca="false">IF(GX28="",HC28,0)</f>
        <v>0.15</v>
      </c>
      <c r="HG28" s="79" t="n">
        <f aca="false">IF(HF28=0,0,HC28/SUM(HF$26:HF$32))</f>
        <v>0.15</v>
      </c>
      <c r="HH28" s="62"/>
      <c r="HI28" s="62"/>
      <c r="HJ28" s="62"/>
      <c r="HK28" s="62"/>
      <c r="HL28" s="45" t="str">
        <f aca="false">(IF(HO28="","◄",""))</f>
        <v>◄</v>
      </c>
      <c r="HM28" s="72" t="n">
        <v>0.15</v>
      </c>
      <c r="HN28" s="73" t="n">
        <f aca="false">(IF(HJ28&lt;&gt;"",1/2,0)+IF(HK28&lt;&gt;"",1,0))*HM28*HM$25*20</f>
        <v>0</v>
      </c>
      <c r="HO28" s="48" t="str">
        <f aca="false">IF(COUNTBLANK(HH28:HK28)=3,1,"")</f>
        <v/>
      </c>
      <c r="HP28" s="74" t="n">
        <f aca="false">IF(HH28="",HM28,0)</f>
        <v>0.15</v>
      </c>
      <c r="HQ28" s="79" t="n">
        <f aca="false">IF(HP28=0,0,HM28/SUM(HP$26:HP$32))</f>
        <v>0.15</v>
      </c>
      <c r="HR28" s="62"/>
      <c r="HS28" s="62"/>
      <c r="HT28" s="62"/>
      <c r="HU28" s="62"/>
      <c r="HV28" s="45" t="str">
        <f aca="false">(IF(HY28="","◄",""))</f>
        <v>◄</v>
      </c>
      <c r="HW28" s="72" t="n">
        <v>0.15</v>
      </c>
      <c r="HX28" s="73" t="n">
        <f aca="false">(IF(HT28&lt;&gt;"",1/2,0)+IF(HU28&lt;&gt;"",1,0))*HW28*HW$25*20</f>
        <v>0</v>
      </c>
      <c r="HY28" s="48" t="str">
        <f aca="false">IF(COUNTBLANK(HR28:HU28)=3,1,"")</f>
        <v/>
      </c>
      <c r="HZ28" s="74" t="n">
        <f aca="false">IF(HR28="",HW28,0)</f>
        <v>0.15</v>
      </c>
      <c r="IA28" s="79" t="n">
        <f aca="false">IF(HZ28=0,0,HW28/SUM(HZ$26:HZ$32))</f>
        <v>0.15</v>
      </c>
      <c r="IB28" s="62"/>
      <c r="IC28" s="62"/>
      <c r="ID28" s="62"/>
      <c r="IE28" s="62"/>
      <c r="IF28" s="45" t="str">
        <f aca="false">(IF(II28="","◄",""))</f>
        <v>◄</v>
      </c>
      <c r="IG28" s="72" t="n">
        <v>0.15</v>
      </c>
      <c r="IH28" s="73" t="n">
        <f aca="false">(IF(ID28&lt;&gt;"",1/2,0)+IF(IE28&lt;&gt;"",1,0))*IG28*IG$25*20</f>
        <v>0</v>
      </c>
      <c r="II28" s="48" t="str">
        <f aca="false">IF(COUNTBLANK(IB28:IE28)=3,1,"")</f>
        <v/>
      </c>
      <c r="IJ28" s="74" t="n">
        <f aca="false">IF(IB28="",IG28,0)</f>
        <v>0.15</v>
      </c>
      <c r="IK28" s="79" t="n">
        <f aca="false">IF(IJ28=0,0,IG28/SUM(IJ$26:IJ$32))</f>
        <v>0.15</v>
      </c>
    </row>
    <row r="29" customFormat="false" ht="49.5" hidden="false" customHeight="true" outlineLevel="0" collapsed="false">
      <c r="D29" s="54" t="s">
        <v>74</v>
      </c>
      <c r="E29" s="53" t="s">
        <v>75</v>
      </c>
      <c r="F29" s="62"/>
      <c r="G29" s="62"/>
      <c r="H29" s="62"/>
      <c r="I29" s="62"/>
      <c r="J29" s="45" t="str">
        <f aca="false">(IF(M29="","◄",""))</f>
        <v>◄</v>
      </c>
      <c r="K29" s="72" t="n">
        <v>0.15</v>
      </c>
      <c r="L29" s="73" t="n">
        <f aca="false">(IF(H29&lt;&gt;"",1/2,0)+IF(I29&lt;&gt;"",1,0))*K29*K$25*20</f>
        <v>0</v>
      </c>
      <c r="M29" s="48" t="str">
        <f aca="false">IF(COUNTBLANK(F29:I29)=3,1,"")</f>
        <v/>
      </c>
      <c r="N29" s="74" t="n">
        <f aca="false">IF(F29="",K29,0)</f>
        <v>0.15</v>
      </c>
      <c r="O29" s="79" t="n">
        <f aca="false">IF(N29=0,0,K29/SUM(N$26:N$32))</f>
        <v>0.15</v>
      </c>
      <c r="P29" s="62"/>
      <c r="Q29" s="62"/>
      <c r="R29" s="62"/>
      <c r="S29" s="62"/>
      <c r="T29" s="45" t="str">
        <f aca="false">(IF(W29="","◄",""))</f>
        <v>◄</v>
      </c>
      <c r="U29" s="72" t="n">
        <v>0.15</v>
      </c>
      <c r="V29" s="73" t="n">
        <f aca="false">(IF(R29&lt;&gt;"",1/2,0)+IF(S29&lt;&gt;"",1,0))*U29*U$25*20</f>
        <v>0</v>
      </c>
      <c r="W29" s="48" t="str">
        <f aca="false">IF(COUNTBLANK(P29:S29)=3,1,"")</f>
        <v/>
      </c>
      <c r="X29" s="74" t="n">
        <f aca="false">IF(P29="",U29,0)</f>
        <v>0.15</v>
      </c>
      <c r="Y29" s="79" t="n">
        <f aca="false">IF(X29=0,0,U29/SUM(X$26:X$32))</f>
        <v>0.15</v>
      </c>
      <c r="Z29" s="62"/>
      <c r="AA29" s="62"/>
      <c r="AB29" s="62"/>
      <c r="AC29" s="62"/>
      <c r="AD29" s="45" t="str">
        <f aca="false">(IF(AG29="","◄",""))</f>
        <v>◄</v>
      </c>
      <c r="AE29" s="72" t="n">
        <v>0.15</v>
      </c>
      <c r="AF29" s="73" t="n">
        <f aca="false">(IF(AB29&lt;&gt;"",1/2,0)+IF(AC29&lt;&gt;"",1,0))*AE29*AE$25*20</f>
        <v>0</v>
      </c>
      <c r="AG29" s="48" t="str">
        <f aca="false">IF(COUNTBLANK(Z29:AC29)=3,1,"")</f>
        <v/>
      </c>
      <c r="AH29" s="74" t="n">
        <f aca="false">IF(Z29="",AE29,0)</f>
        <v>0.15</v>
      </c>
      <c r="AI29" s="79" t="n">
        <f aca="false">IF(AH29=0,0,AE29/SUM(AH$26:AH$32))</f>
        <v>0.15</v>
      </c>
      <c r="AJ29" s="62"/>
      <c r="AK29" s="62"/>
      <c r="AL29" s="62"/>
      <c r="AM29" s="62"/>
      <c r="AN29" s="45" t="str">
        <f aca="false">(IF(AQ29="","◄",""))</f>
        <v>◄</v>
      </c>
      <c r="AO29" s="72" t="n">
        <v>0.15</v>
      </c>
      <c r="AP29" s="73" t="n">
        <f aca="false">(IF(AL29&lt;&gt;"",1/2,0)+IF(AM29&lt;&gt;"",1,0))*AO29*AO$25*20</f>
        <v>0</v>
      </c>
      <c r="AQ29" s="48" t="str">
        <f aca="false">IF(COUNTBLANK(AJ29:AM29)=3,1,"")</f>
        <v/>
      </c>
      <c r="AR29" s="74" t="n">
        <f aca="false">IF(AJ29="",AO29,0)</f>
        <v>0.15</v>
      </c>
      <c r="AS29" s="79" t="n">
        <f aca="false">IF(AR29=0,0,AO29/SUM(AR$26:AR$32))</f>
        <v>0.15</v>
      </c>
      <c r="AT29" s="62"/>
      <c r="AU29" s="62"/>
      <c r="AV29" s="62"/>
      <c r="AW29" s="62"/>
      <c r="AX29" s="45" t="str">
        <f aca="false">(IF(BA29="","◄",""))</f>
        <v>◄</v>
      </c>
      <c r="AY29" s="72" t="n">
        <v>0.15</v>
      </c>
      <c r="AZ29" s="73" t="n">
        <f aca="false">(IF(AV29&lt;&gt;"",1/2,0)+IF(AW29&lt;&gt;"",1,0))*AY29*AY$25*20</f>
        <v>0</v>
      </c>
      <c r="BA29" s="48" t="str">
        <f aca="false">IF(COUNTBLANK(AT29:AW29)=3,1,"")</f>
        <v/>
      </c>
      <c r="BB29" s="74" t="n">
        <f aca="false">IF(AT29="",AY29,0)</f>
        <v>0.15</v>
      </c>
      <c r="BC29" s="79" t="n">
        <f aca="false">IF(BB29=0,0,AY29/SUM(BB$26:BB$32))</f>
        <v>0.15</v>
      </c>
      <c r="BD29" s="62"/>
      <c r="BE29" s="62"/>
      <c r="BF29" s="62"/>
      <c r="BG29" s="62"/>
      <c r="BH29" s="45" t="str">
        <f aca="false">(IF(BK29="","◄",""))</f>
        <v>◄</v>
      </c>
      <c r="BI29" s="72" t="n">
        <v>0.15</v>
      </c>
      <c r="BJ29" s="73" t="n">
        <f aca="false">(IF(BF29&lt;&gt;"",1/2,0)+IF(BG29&lt;&gt;"",1,0))*BI29*BI$25*20</f>
        <v>0</v>
      </c>
      <c r="BK29" s="48" t="str">
        <f aca="false">IF(COUNTBLANK(BD29:BG29)=3,1,"")</f>
        <v/>
      </c>
      <c r="BL29" s="74" t="n">
        <f aca="false">IF(BD29="",BI29,0)</f>
        <v>0.15</v>
      </c>
      <c r="BM29" s="79" t="n">
        <f aca="false">IF(BL29=0,0,BI29/SUM(BL$26:BL$32))</f>
        <v>0.15</v>
      </c>
      <c r="BN29" s="62"/>
      <c r="BO29" s="62"/>
      <c r="BP29" s="62"/>
      <c r="BQ29" s="62"/>
      <c r="BR29" s="45" t="str">
        <f aca="false">(IF(BU29="","◄",""))</f>
        <v>◄</v>
      </c>
      <c r="BS29" s="72" t="n">
        <v>0.15</v>
      </c>
      <c r="BT29" s="73" t="n">
        <f aca="false">(IF(BP29&lt;&gt;"",1/2,0)+IF(BQ29&lt;&gt;"",1,0))*BS29*BS$25*20</f>
        <v>0</v>
      </c>
      <c r="BU29" s="48" t="str">
        <f aca="false">IF(COUNTBLANK(BN29:BQ29)=3,1,"")</f>
        <v/>
      </c>
      <c r="BV29" s="74" t="n">
        <f aca="false">IF(BN29="",BS29,0)</f>
        <v>0.15</v>
      </c>
      <c r="BW29" s="79" t="n">
        <f aca="false">IF(BV29=0,0,BS29/SUM(BV$26:BV$32))</f>
        <v>0.15</v>
      </c>
      <c r="BX29" s="62"/>
      <c r="BY29" s="62"/>
      <c r="BZ29" s="62"/>
      <c r="CA29" s="62"/>
      <c r="CB29" s="45" t="str">
        <f aca="false">(IF(CE29="","◄",""))</f>
        <v>◄</v>
      </c>
      <c r="CC29" s="72" t="n">
        <v>0.15</v>
      </c>
      <c r="CD29" s="73" t="n">
        <f aca="false">(IF(BZ29&lt;&gt;"",1/2,0)+IF(CA29&lt;&gt;"",1,0))*CC29*CC$25*20</f>
        <v>0</v>
      </c>
      <c r="CE29" s="48" t="str">
        <f aca="false">IF(COUNTBLANK(BX29:CA29)=3,1,"")</f>
        <v/>
      </c>
      <c r="CF29" s="74" t="n">
        <f aca="false">IF(BX29="",CC29,0)</f>
        <v>0.15</v>
      </c>
      <c r="CG29" s="79" t="n">
        <f aca="false">IF(CF29=0,0,CC29/SUM(CF$26:CF$32))</f>
        <v>0.15</v>
      </c>
      <c r="CH29" s="62"/>
      <c r="CI29" s="62"/>
      <c r="CJ29" s="62"/>
      <c r="CK29" s="62"/>
      <c r="CL29" s="45" t="str">
        <f aca="false">(IF(CO29="","◄",""))</f>
        <v>◄</v>
      </c>
      <c r="CM29" s="72" t="n">
        <v>0.15</v>
      </c>
      <c r="CN29" s="73" t="n">
        <f aca="false">(IF(CJ29&lt;&gt;"",1/2,0)+IF(CK29&lt;&gt;"",1,0))*CM29*CM$25*20</f>
        <v>0</v>
      </c>
      <c r="CO29" s="48" t="str">
        <f aca="false">IF(COUNTBLANK(CH29:CK29)=3,1,"")</f>
        <v/>
      </c>
      <c r="CP29" s="74" t="n">
        <f aca="false">IF(CH29="",CM29,0)</f>
        <v>0.15</v>
      </c>
      <c r="CQ29" s="79" t="n">
        <f aca="false">IF(CP29=0,0,CM29/SUM(CP$26:CP$32))</f>
        <v>0.15</v>
      </c>
      <c r="CR29" s="62"/>
      <c r="CS29" s="62"/>
      <c r="CT29" s="62"/>
      <c r="CU29" s="62"/>
      <c r="CV29" s="45" t="str">
        <f aca="false">(IF(CY29="","◄",""))</f>
        <v>◄</v>
      </c>
      <c r="CW29" s="72" t="n">
        <v>0.15</v>
      </c>
      <c r="CX29" s="73" t="n">
        <f aca="false">(IF(CT29&lt;&gt;"",1/2,0)+IF(CU29&lt;&gt;"",1,0))*CW29*CW$25*20</f>
        <v>0</v>
      </c>
      <c r="CY29" s="48" t="str">
        <f aca="false">IF(COUNTBLANK(CR29:CU29)=3,1,"")</f>
        <v/>
      </c>
      <c r="CZ29" s="74" t="n">
        <f aca="false">IF(CR29="",CW29,0)</f>
        <v>0.15</v>
      </c>
      <c r="DA29" s="79" t="n">
        <f aca="false">IF(CZ29=0,0,CW29/SUM(CZ$26:CZ$32))</f>
        <v>0.15</v>
      </c>
      <c r="DB29" s="62"/>
      <c r="DC29" s="62"/>
      <c r="DD29" s="62"/>
      <c r="DE29" s="62"/>
      <c r="DF29" s="45" t="str">
        <f aca="false">(IF(DI29="","◄",""))</f>
        <v>◄</v>
      </c>
      <c r="DG29" s="72" t="n">
        <v>0.15</v>
      </c>
      <c r="DH29" s="73" t="n">
        <f aca="false">(IF(DD29&lt;&gt;"",1/2,0)+IF(DE29&lt;&gt;"",1,0))*DG29*DG$25*20</f>
        <v>0</v>
      </c>
      <c r="DI29" s="48" t="str">
        <f aca="false">IF(COUNTBLANK(DB29:DE29)=3,1,"")</f>
        <v/>
      </c>
      <c r="DJ29" s="74" t="n">
        <f aca="false">IF(DB29="",DG29,0)</f>
        <v>0.15</v>
      </c>
      <c r="DK29" s="79" t="n">
        <f aca="false">IF(DJ29=0,0,DG29/SUM(DJ$26:DJ$32))</f>
        <v>0.15</v>
      </c>
      <c r="DL29" s="62"/>
      <c r="DM29" s="62"/>
      <c r="DN29" s="62"/>
      <c r="DO29" s="62"/>
      <c r="DP29" s="45" t="str">
        <f aca="false">(IF(DS29="","◄",""))</f>
        <v>◄</v>
      </c>
      <c r="DQ29" s="72" t="n">
        <v>0.15</v>
      </c>
      <c r="DR29" s="73" t="n">
        <f aca="false">(IF(DN29&lt;&gt;"",1/2,0)+IF(DO29&lt;&gt;"",1,0))*DQ29*DQ$25*20</f>
        <v>0</v>
      </c>
      <c r="DS29" s="48" t="str">
        <f aca="false">IF(COUNTBLANK(DL29:DO29)=3,1,"")</f>
        <v/>
      </c>
      <c r="DT29" s="74" t="n">
        <f aca="false">IF(DL29="",DQ29,0)</f>
        <v>0.15</v>
      </c>
      <c r="DU29" s="79" t="n">
        <f aca="false">IF(DT29=0,0,DQ29/SUM(DT$26:DT$32))</f>
        <v>0.15</v>
      </c>
      <c r="DV29" s="62"/>
      <c r="DW29" s="62"/>
      <c r="DX29" s="62"/>
      <c r="DY29" s="62"/>
      <c r="DZ29" s="45" t="str">
        <f aca="false">(IF(EC29="","◄",""))</f>
        <v>◄</v>
      </c>
      <c r="EA29" s="72" t="n">
        <v>0.15</v>
      </c>
      <c r="EB29" s="73" t="n">
        <f aca="false">(IF(DX29&lt;&gt;"",1/2,0)+IF(DY29&lt;&gt;"",1,0))*EA29*EA$25*20</f>
        <v>0</v>
      </c>
      <c r="EC29" s="48" t="str">
        <f aca="false">IF(COUNTBLANK(DV29:DY29)=3,1,"")</f>
        <v/>
      </c>
      <c r="ED29" s="74" t="n">
        <f aca="false">IF(DV29="",EA29,0)</f>
        <v>0.15</v>
      </c>
      <c r="EE29" s="79" t="n">
        <f aca="false">IF(ED29=0,0,EA29/SUM(ED$26:ED$32))</f>
        <v>0.15</v>
      </c>
      <c r="EF29" s="62"/>
      <c r="EG29" s="62"/>
      <c r="EH29" s="62"/>
      <c r="EI29" s="62"/>
      <c r="EJ29" s="45" t="str">
        <f aca="false">(IF(EM29="","◄",""))</f>
        <v>◄</v>
      </c>
      <c r="EK29" s="72" t="n">
        <v>0.15</v>
      </c>
      <c r="EL29" s="73" t="n">
        <f aca="false">(IF(EH29&lt;&gt;"",1/2,0)+IF(EI29&lt;&gt;"",1,0))*EK29*EK$25*20</f>
        <v>0</v>
      </c>
      <c r="EM29" s="48" t="str">
        <f aca="false">IF(COUNTBLANK(EF29:EI29)=3,1,"")</f>
        <v/>
      </c>
      <c r="EN29" s="74" t="n">
        <f aca="false">IF(EF29="",EK29,0)</f>
        <v>0.15</v>
      </c>
      <c r="EO29" s="79" t="n">
        <f aca="false">IF(EN29=0,0,EK29/SUM(EN$26:EN$32))</f>
        <v>0.15</v>
      </c>
      <c r="EP29" s="62"/>
      <c r="EQ29" s="62"/>
      <c r="ER29" s="62"/>
      <c r="ES29" s="62"/>
      <c r="ET29" s="45" t="str">
        <f aca="false">(IF(EW29="","◄",""))</f>
        <v>◄</v>
      </c>
      <c r="EU29" s="72" t="n">
        <v>0.15</v>
      </c>
      <c r="EV29" s="73" t="n">
        <f aca="false">(IF(ER29&lt;&gt;"",1/2,0)+IF(ES29&lt;&gt;"",1,0))*EU29*EU$25*20</f>
        <v>0</v>
      </c>
      <c r="EW29" s="48" t="str">
        <f aca="false">IF(COUNTBLANK(EP29:ES29)=3,1,"")</f>
        <v/>
      </c>
      <c r="EX29" s="74" t="n">
        <f aca="false">IF(EP29="",EU29,0)</f>
        <v>0.15</v>
      </c>
      <c r="EY29" s="79" t="n">
        <f aca="false">IF(EX29=0,0,EU29/SUM(EX$26:EX$32))</f>
        <v>0.15</v>
      </c>
      <c r="EZ29" s="62"/>
      <c r="FA29" s="62"/>
      <c r="FB29" s="62"/>
      <c r="FC29" s="62"/>
      <c r="FD29" s="45" t="str">
        <f aca="false">(IF(FG29="","◄",""))</f>
        <v>◄</v>
      </c>
      <c r="FE29" s="72" t="n">
        <v>0.15</v>
      </c>
      <c r="FF29" s="73" t="n">
        <f aca="false">(IF(FB29&lt;&gt;"",1/2,0)+IF(FC29&lt;&gt;"",1,0))*FE29*FE$25*20</f>
        <v>0</v>
      </c>
      <c r="FG29" s="48" t="str">
        <f aca="false">IF(COUNTBLANK(EZ29:FC29)=3,1,"")</f>
        <v/>
      </c>
      <c r="FH29" s="74" t="n">
        <f aca="false">IF(EZ29="",FE29,0)</f>
        <v>0.15</v>
      </c>
      <c r="FI29" s="79" t="n">
        <f aca="false">IF(FH29=0,0,FE29/SUM(FH$26:FH$32))</f>
        <v>0.15</v>
      </c>
      <c r="FJ29" s="62"/>
      <c r="FK29" s="62"/>
      <c r="FL29" s="62"/>
      <c r="FM29" s="62"/>
      <c r="FN29" s="45" t="str">
        <f aca="false">(IF(FQ29="","◄",""))</f>
        <v>◄</v>
      </c>
      <c r="FO29" s="72" t="n">
        <v>0.15</v>
      </c>
      <c r="FP29" s="73" t="n">
        <f aca="false">(IF(FL29&lt;&gt;"",1/2,0)+IF(FM29&lt;&gt;"",1,0))*FO29*FO$25*20</f>
        <v>0</v>
      </c>
      <c r="FQ29" s="48" t="str">
        <f aca="false">IF(COUNTBLANK(FJ29:FM29)=3,1,"")</f>
        <v/>
      </c>
      <c r="FR29" s="74" t="n">
        <f aca="false">IF(FJ29="",FO29,0)</f>
        <v>0.15</v>
      </c>
      <c r="FS29" s="79" t="n">
        <f aca="false">IF(FR29=0,0,FO29/SUM(FR$26:FR$32))</f>
        <v>0.15</v>
      </c>
      <c r="FT29" s="62"/>
      <c r="FU29" s="62"/>
      <c r="FV29" s="62"/>
      <c r="FW29" s="62"/>
      <c r="FX29" s="45" t="str">
        <f aca="false">(IF(GA29="","◄",""))</f>
        <v>◄</v>
      </c>
      <c r="FY29" s="72" t="n">
        <v>0.15</v>
      </c>
      <c r="FZ29" s="73" t="n">
        <f aca="false">(IF(FV29&lt;&gt;"",1/2,0)+IF(FW29&lt;&gt;"",1,0))*FY29*FY$25*20</f>
        <v>0</v>
      </c>
      <c r="GA29" s="48" t="str">
        <f aca="false">IF(COUNTBLANK(FT29:FW29)=3,1,"")</f>
        <v/>
      </c>
      <c r="GB29" s="74" t="n">
        <f aca="false">IF(FT29="",FY29,0)</f>
        <v>0.15</v>
      </c>
      <c r="GC29" s="79" t="n">
        <f aca="false">IF(GB29=0,0,FY29/SUM(GB$26:GB$32))</f>
        <v>0.15</v>
      </c>
      <c r="GD29" s="62"/>
      <c r="GE29" s="62"/>
      <c r="GF29" s="62"/>
      <c r="GG29" s="62"/>
      <c r="GH29" s="45" t="str">
        <f aca="false">(IF(GK29="","◄",""))</f>
        <v>◄</v>
      </c>
      <c r="GI29" s="72" t="n">
        <v>0.15</v>
      </c>
      <c r="GJ29" s="73" t="n">
        <f aca="false">(IF(GF29&lt;&gt;"",1/2,0)+IF(GG29&lt;&gt;"",1,0))*GI29*GI$25*20</f>
        <v>0</v>
      </c>
      <c r="GK29" s="48" t="str">
        <f aca="false">IF(COUNTBLANK(GD29:GG29)=3,1,"")</f>
        <v/>
      </c>
      <c r="GL29" s="74" t="n">
        <f aca="false">IF(GD29="",GI29,0)</f>
        <v>0.15</v>
      </c>
      <c r="GM29" s="79" t="n">
        <f aca="false">IF(GL29=0,0,GI29/SUM(GL$26:GL$32))</f>
        <v>0.15</v>
      </c>
      <c r="GN29" s="62"/>
      <c r="GO29" s="62"/>
      <c r="GP29" s="62"/>
      <c r="GQ29" s="62"/>
      <c r="GR29" s="45" t="str">
        <f aca="false">(IF(GU29="","◄",""))</f>
        <v>◄</v>
      </c>
      <c r="GS29" s="72" t="n">
        <v>0.15</v>
      </c>
      <c r="GT29" s="73" t="n">
        <f aca="false">(IF(GP29&lt;&gt;"",1/2,0)+IF(GQ29&lt;&gt;"",1,0))*GS29*GS$25*20</f>
        <v>0</v>
      </c>
      <c r="GU29" s="48" t="str">
        <f aca="false">IF(COUNTBLANK(GN29:GQ29)=3,1,"")</f>
        <v/>
      </c>
      <c r="GV29" s="74" t="n">
        <f aca="false">IF(GN29="",GS29,0)</f>
        <v>0.15</v>
      </c>
      <c r="GW29" s="79" t="n">
        <f aca="false">IF(GV29=0,0,GS29/SUM(GV$26:GV$32))</f>
        <v>0.15</v>
      </c>
      <c r="GX29" s="62"/>
      <c r="GY29" s="62"/>
      <c r="GZ29" s="62"/>
      <c r="HA29" s="62"/>
      <c r="HB29" s="45" t="str">
        <f aca="false">(IF(HE29="","◄",""))</f>
        <v>◄</v>
      </c>
      <c r="HC29" s="72" t="n">
        <v>0.15</v>
      </c>
      <c r="HD29" s="73" t="n">
        <f aca="false">(IF(GZ29&lt;&gt;"",1/2,0)+IF(HA29&lt;&gt;"",1,0))*HC29*HC$25*20</f>
        <v>0</v>
      </c>
      <c r="HE29" s="48" t="str">
        <f aca="false">IF(COUNTBLANK(GX29:HA29)=3,1,"")</f>
        <v/>
      </c>
      <c r="HF29" s="74" t="n">
        <f aca="false">IF(GX29="",HC29,0)</f>
        <v>0.15</v>
      </c>
      <c r="HG29" s="79" t="n">
        <f aca="false">IF(HF29=0,0,HC29/SUM(HF$26:HF$32))</f>
        <v>0.15</v>
      </c>
      <c r="HH29" s="62"/>
      <c r="HI29" s="62"/>
      <c r="HJ29" s="62"/>
      <c r="HK29" s="62"/>
      <c r="HL29" s="45" t="str">
        <f aca="false">(IF(HO29="","◄",""))</f>
        <v>◄</v>
      </c>
      <c r="HM29" s="72" t="n">
        <v>0.15</v>
      </c>
      <c r="HN29" s="73" t="n">
        <f aca="false">(IF(HJ29&lt;&gt;"",1/2,0)+IF(HK29&lt;&gt;"",1,0))*HM29*HM$25*20</f>
        <v>0</v>
      </c>
      <c r="HO29" s="48" t="str">
        <f aca="false">IF(COUNTBLANK(HH29:HK29)=3,1,"")</f>
        <v/>
      </c>
      <c r="HP29" s="74" t="n">
        <f aca="false">IF(HH29="",HM29,0)</f>
        <v>0.15</v>
      </c>
      <c r="HQ29" s="79" t="n">
        <f aca="false">IF(HP29=0,0,HM29/SUM(HP$26:HP$32))</f>
        <v>0.15</v>
      </c>
      <c r="HR29" s="62"/>
      <c r="HS29" s="62"/>
      <c r="HT29" s="62"/>
      <c r="HU29" s="62"/>
      <c r="HV29" s="45" t="str">
        <f aca="false">(IF(HY29="","◄",""))</f>
        <v>◄</v>
      </c>
      <c r="HW29" s="72" t="n">
        <v>0.15</v>
      </c>
      <c r="HX29" s="73" t="n">
        <f aca="false">(IF(HT29&lt;&gt;"",1/2,0)+IF(HU29&lt;&gt;"",1,0))*HW29*HW$25*20</f>
        <v>0</v>
      </c>
      <c r="HY29" s="48" t="str">
        <f aca="false">IF(COUNTBLANK(HR29:HU29)=3,1,"")</f>
        <v/>
      </c>
      <c r="HZ29" s="74" t="n">
        <f aca="false">IF(HR29="",HW29,0)</f>
        <v>0.15</v>
      </c>
      <c r="IA29" s="79" t="n">
        <f aca="false">IF(HZ29=0,0,HW29/SUM(HZ$26:HZ$32))</f>
        <v>0.15</v>
      </c>
      <c r="IB29" s="62"/>
      <c r="IC29" s="62"/>
      <c r="ID29" s="62"/>
      <c r="IE29" s="62"/>
      <c r="IF29" s="45" t="str">
        <f aca="false">(IF(II29="","◄",""))</f>
        <v>◄</v>
      </c>
      <c r="IG29" s="72" t="n">
        <v>0.15</v>
      </c>
      <c r="IH29" s="73" t="n">
        <f aca="false">(IF(ID29&lt;&gt;"",1/2,0)+IF(IE29&lt;&gt;"",1,0))*IG29*IG$25*20</f>
        <v>0</v>
      </c>
      <c r="II29" s="48" t="str">
        <f aca="false">IF(COUNTBLANK(IB29:IE29)=3,1,"")</f>
        <v/>
      </c>
      <c r="IJ29" s="74" t="n">
        <f aca="false">IF(IB29="",IG29,0)</f>
        <v>0.15</v>
      </c>
      <c r="IK29" s="79" t="n">
        <f aca="false">IF(IJ29=0,0,IG29/SUM(IJ$26:IJ$32))</f>
        <v>0.15</v>
      </c>
    </row>
    <row r="30" customFormat="false" ht="49.5" hidden="false" customHeight="true" outlineLevel="0" collapsed="false">
      <c r="D30" s="56" t="s">
        <v>76</v>
      </c>
      <c r="E30" s="53" t="s">
        <v>77</v>
      </c>
      <c r="F30" s="62"/>
      <c r="G30" s="62"/>
      <c r="H30" s="62"/>
      <c r="I30" s="62"/>
      <c r="J30" s="45" t="str">
        <f aca="false">(IF(M30="","◄",""))</f>
        <v>◄</v>
      </c>
      <c r="K30" s="72" t="n">
        <v>0.15</v>
      </c>
      <c r="L30" s="73" t="n">
        <f aca="false">(IF(H30&lt;&gt;"",1/2,0)+IF(I30&lt;&gt;"",1,0))*K30*K$25*20</f>
        <v>0</v>
      </c>
      <c r="M30" s="48" t="str">
        <f aca="false">IF(COUNTBLANK(F30:I30)=3,1,"")</f>
        <v/>
      </c>
      <c r="N30" s="74" t="n">
        <f aca="false">IF(F30="",K30,0)</f>
        <v>0.15</v>
      </c>
      <c r="O30" s="79" t="n">
        <f aca="false">IF(N30=0,0,K30/SUM(N$26:N$32))</f>
        <v>0.15</v>
      </c>
      <c r="P30" s="62"/>
      <c r="Q30" s="62"/>
      <c r="R30" s="62"/>
      <c r="S30" s="62"/>
      <c r="T30" s="45" t="str">
        <f aca="false">(IF(W30="","◄",""))</f>
        <v>◄</v>
      </c>
      <c r="U30" s="72" t="n">
        <v>0.15</v>
      </c>
      <c r="V30" s="73" t="n">
        <f aca="false">(IF(R30&lt;&gt;"",1/2,0)+IF(S30&lt;&gt;"",1,0))*U30*U$25*20</f>
        <v>0</v>
      </c>
      <c r="W30" s="48" t="str">
        <f aca="false">IF(COUNTBLANK(P30:S30)=3,1,"")</f>
        <v/>
      </c>
      <c r="X30" s="74" t="n">
        <f aca="false">IF(P30="",U30,0)</f>
        <v>0.15</v>
      </c>
      <c r="Y30" s="79" t="n">
        <f aca="false">IF(X30=0,0,U30/SUM(X$26:X$32))</f>
        <v>0.15</v>
      </c>
      <c r="Z30" s="62"/>
      <c r="AA30" s="62"/>
      <c r="AB30" s="62"/>
      <c r="AC30" s="62"/>
      <c r="AD30" s="45" t="str">
        <f aca="false">(IF(AG30="","◄",""))</f>
        <v>◄</v>
      </c>
      <c r="AE30" s="72" t="n">
        <v>0.15</v>
      </c>
      <c r="AF30" s="73" t="n">
        <f aca="false">(IF(AB30&lt;&gt;"",1/2,0)+IF(AC30&lt;&gt;"",1,0))*AE30*AE$25*20</f>
        <v>0</v>
      </c>
      <c r="AG30" s="48" t="str">
        <f aca="false">IF(COUNTBLANK(Z30:AC30)=3,1,"")</f>
        <v/>
      </c>
      <c r="AH30" s="74" t="n">
        <f aca="false">IF(Z30="",AE30,0)</f>
        <v>0.15</v>
      </c>
      <c r="AI30" s="79" t="n">
        <f aca="false">IF(AH30=0,0,AE30/SUM(AH$26:AH$32))</f>
        <v>0.15</v>
      </c>
      <c r="AJ30" s="62"/>
      <c r="AK30" s="62"/>
      <c r="AL30" s="62"/>
      <c r="AM30" s="62"/>
      <c r="AN30" s="45" t="str">
        <f aca="false">(IF(AQ30="","◄",""))</f>
        <v>◄</v>
      </c>
      <c r="AO30" s="72" t="n">
        <v>0.15</v>
      </c>
      <c r="AP30" s="73" t="n">
        <f aca="false">(IF(AL30&lt;&gt;"",1/2,0)+IF(AM30&lt;&gt;"",1,0))*AO30*AO$25*20</f>
        <v>0</v>
      </c>
      <c r="AQ30" s="48" t="str">
        <f aca="false">IF(COUNTBLANK(AJ30:AM30)=3,1,"")</f>
        <v/>
      </c>
      <c r="AR30" s="74" t="n">
        <f aca="false">IF(AJ30="",AO30,0)</f>
        <v>0.15</v>
      </c>
      <c r="AS30" s="79" t="n">
        <f aca="false">IF(AR30=0,0,AO30/SUM(AR$26:AR$32))</f>
        <v>0.15</v>
      </c>
      <c r="AT30" s="62"/>
      <c r="AU30" s="62"/>
      <c r="AV30" s="62"/>
      <c r="AW30" s="62"/>
      <c r="AX30" s="45" t="str">
        <f aca="false">(IF(BA30="","◄",""))</f>
        <v>◄</v>
      </c>
      <c r="AY30" s="72" t="n">
        <v>0.15</v>
      </c>
      <c r="AZ30" s="73" t="n">
        <f aca="false">(IF(AV30&lt;&gt;"",1/2,0)+IF(AW30&lt;&gt;"",1,0))*AY30*AY$25*20</f>
        <v>0</v>
      </c>
      <c r="BA30" s="48" t="str">
        <f aca="false">IF(COUNTBLANK(AT30:AW30)=3,1,"")</f>
        <v/>
      </c>
      <c r="BB30" s="74" t="n">
        <f aca="false">IF(AT30="",AY30,0)</f>
        <v>0.15</v>
      </c>
      <c r="BC30" s="79" t="n">
        <f aca="false">IF(BB30=0,0,AY30/SUM(BB$26:BB$32))</f>
        <v>0.15</v>
      </c>
      <c r="BD30" s="62"/>
      <c r="BE30" s="62"/>
      <c r="BF30" s="62"/>
      <c r="BG30" s="62"/>
      <c r="BH30" s="45" t="str">
        <f aca="false">(IF(BK30="","◄",""))</f>
        <v>◄</v>
      </c>
      <c r="BI30" s="72" t="n">
        <v>0.15</v>
      </c>
      <c r="BJ30" s="73" t="n">
        <f aca="false">(IF(BF30&lt;&gt;"",1/2,0)+IF(BG30&lt;&gt;"",1,0))*BI30*BI$25*20</f>
        <v>0</v>
      </c>
      <c r="BK30" s="48" t="str">
        <f aca="false">IF(COUNTBLANK(BD30:BG30)=3,1,"")</f>
        <v/>
      </c>
      <c r="BL30" s="74" t="n">
        <f aca="false">IF(BD30="",BI30,0)</f>
        <v>0.15</v>
      </c>
      <c r="BM30" s="79" t="n">
        <f aca="false">IF(BL30=0,0,BI30/SUM(BL$26:BL$32))</f>
        <v>0.15</v>
      </c>
      <c r="BN30" s="62"/>
      <c r="BO30" s="62"/>
      <c r="BP30" s="62"/>
      <c r="BQ30" s="62"/>
      <c r="BR30" s="45" t="str">
        <f aca="false">(IF(BU30="","◄",""))</f>
        <v>◄</v>
      </c>
      <c r="BS30" s="72" t="n">
        <v>0.15</v>
      </c>
      <c r="BT30" s="73" t="n">
        <f aca="false">(IF(BP30&lt;&gt;"",1/2,0)+IF(BQ30&lt;&gt;"",1,0))*BS30*BS$25*20</f>
        <v>0</v>
      </c>
      <c r="BU30" s="48" t="str">
        <f aca="false">IF(COUNTBLANK(BN30:BQ30)=3,1,"")</f>
        <v/>
      </c>
      <c r="BV30" s="74" t="n">
        <f aca="false">IF(BN30="",BS30,0)</f>
        <v>0.15</v>
      </c>
      <c r="BW30" s="79" t="n">
        <f aca="false">IF(BV30=0,0,BS30/SUM(BV$26:BV$32))</f>
        <v>0.15</v>
      </c>
      <c r="BX30" s="62"/>
      <c r="BY30" s="62"/>
      <c r="BZ30" s="62"/>
      <c r="CA30" s="62"/>
      <c r="CB30" s="45" t="str">
        <f aca="false">(IF(CE30="","◄",""))</f>
        <v>◄</v>
      </c>
      <c r="CC30" s="72" t="n">
        <v>0.15</v>
      </c>
      <c r="CD30" s="73" t="n">
        <f aca="false">(IF(BZ30&lt;&gt;"",1/2,0)+IF(CA30&lt;&gt;"",1,0))*CC30*CC$25*20</f>
        <v>0</v>
      </c>
      <c r="CE30" s="48" t="str">
        <f aca="false">IF(COUNTBLANK(BX30:CA30)=3,1,"")</f>
        <v/>
      </c>
      <c r="CF30" s="74" t="n">
        <f aca="false">IF(BX30="",CC30,0)</f>
        <v>0.15</v>
      </c>
      <c r="CG30" s="79" t="n">
        <f aca="false">IF(CF30=0,0,CC30/SUM(CF$26:CF$32))</f>
        <v>0.15</v>
      </c>
      <c r="CH30" s="62"/>
      <c r="CI30" s="62"/>
      <c r="CJ30" s="62"/>
      <c r="CK30" s="62"/>
      <c r="CL30" s="45" t="str">
        <f aca="false">(IF(CO30="","◄",""))</f>
        <v>◄</v>
      </c>
      <c r="CM30" s="72" t="n">
        <v>0.15</v>
      </c>
      <c r="CN30" s="73" t="n">
        <f aca="false">(IF(CJ30&lt;&gt;"",1/2,0)+IF(CK30&lt;&gt;"",1,0))*CM30*CM$25*20</f>
        <v>0</v>
      </c>
      <c r="CO30" s="48" t="str">
        <f aca="false">IF(COUNTBLANK(CH30:CK30)=3,1,"")</f>
        <v/>
      </c>
      <c r="CP30" s="74" t="n">
        <f aca="false">IF(CH30="",CM30,0)</f>
        <v>0.15</v>
      </c>
      <c r="CQ30" s="79" t="n">
        <f aca="false">IF(CP30=0,0,CM30/SUM(CP$26:CP$32))</f>
        <v>0.15</v>
      </c>
      <c r="CR30" s="62"/>
      <c r="CS30" s="62"/>
      <c r="CT30" s="62"/>
      <c r="CU30" s="62"/>
      <c r="CV30" s="45" t="str">
        <f aca="false">(IF(CY30="","◄",""))</f>
        <v>◄</v>
      </c>
      <c r="CW30" s="72" t="n">
        <v>0.15</v>
      </c>
      <c r="CX30" s="73" t="n">
        <f aca="false">(IF(CT30&lt;&gt;"",1/2,0)+IF(CU30&lt;&gt;"",1,0))*CW30*CW$25*20</f>
        <v>0</v>
      </c>
      <c r="CY30" s="48" t="str">
        <f aca="false">IF(COUNTBLANK(CR30:CU30)=3,1,"")</f>
        <v/>
      </c>
      <c r="CZ30" s="74" t="n">
        <f aca="false">IF(CR30="",CW30,0)</f>
        <v>0.15</v>
      </c>
      <c r="DA30" s="79" t="n">
        <f aca="false">IF(CZ30=0,0,CW30/SUM(CZ$26:CZ$32))</f>
        <v>0.15</v>
      </c>
      <c r="DB30" s="62"/>
      <c r="DC30" s="62"/>
      <c r="DD30" s="62"/>
      <c r="DE30" s="62"/>
      <c r="DF30" s="45" t="str">
        <f aca="false">(IF(DI30="","◄",""))</f>
        <v>◄</v>
      </c>
      <c r="DG30" s="72" t="n">
        <v>0.15</v>
      </c>
      <c r="DH30" s="73" t="n">
        <f aca="false">(IF(DD30&lt;&gt;"",1/2,0)+IF(DE30&lt;&gt;"",1,0))*DG30*DG$25*20</f>
        <v>0</v>
      </c>
      <c r="DI30" s="48" t="str">
        <f aca="false">IF(COUNTBLANK(DB30:DE30)=3,1,"")</f>
        <v/>
      </c>
      <c r="DJ30" s="74" t="n">
        <f aca="false">IF(DB30="",DG30,0)</f>
        <v>0.15</v>
      </c>
      <c r="DK30" s="79" t="n">
        <f aca="false">IF(DJ30=0,0,DG30/SUM(DJ$26:DJ$32))</f>
        <v>0.15</v>
      </c>
      <c r="DL30" s="62"/>
      <c r="DM30" s="62"/>
      <c r="DN30" s="62"/>
      <c r="DO30" s="62"/>
      <c r="DP30" s="45" t="str">
        <f aca="false">(IF(DS30="","◄",""))</f>
        <v>◄</v>
      </c>
      <c r="DQ30" s="72" t="n">
        <v>0.15</v>
      </c>
      <c r="DR30" s="73" t="n">
        <f aca="false">(IF(DN30&lt;&gt;"",1/2,0)+IF(DO30&lt;&gt;"",1,0))*DQ30*DQ$25*20</f>
        <v>0</v>
      </c>
      <c r="DS30" s="48" t="str">
        <f aca="false">IF(COUNTBLANK(DL30:DO30)=3,1,"")</f>
        <v/>
      </c>
      <c r="DT30" s="74" t="n">
        <f aca="false">IF(DL30="",DQ30,0)</f>
        <v>0.15</v>
      </c>
      <c r="DU30" s="79" t="n">
        <f aca="false">IF(DT30=0,0,DQ30/SUM(DT$26:DT$32))</f>
        <v>0.15</v>
      </c>
      <c r="DV30" s="62"/>
      <c r="DW30" s="62"/>
      <c r="DX30" s="62"/>
      <c r="DY30" s="62"/>
      <c r="DZ30" s="45" t="str">
        <f aca="false">(IF(EC30="","◄",""))</f>
        <v>◄</v>
      </c>
      <c r="EA30" s="72" t="n">
        <v>0.15</v>
      </c>
      <c r="EB30" s="73" t="n">
        <f aca="false">(IF(DX30&lt;&gt;"",1/2,0)+IF(DY30&lt;&gt;"",1,0))*EA30*EA$25*20</f>
        <v>0</v>
      </c>
      <c r="EC30" s="48" t="str">
        <f aca="false">IF(COUNTBLANK(DV30:DY30)=3,1,"")</f>
        <v/>
      </c>
      <c r="ED30" s="74" t="n">
        <f aca="false">IF(DV30="",EA30,0)</f>
        <v>0.15</v>
      </c>
      <c r="EE30" s="79" t="n">
        <f aca="false">IF(ED30=0,0,EA30/SUM(ED$26:ED$32))</f>
        <v>0.15</v>
      </c>
      <c r="EF30" s="62"/>
      <c r="EG30" s="62"/>
      <c r="EH30" s="62"/>
      <c r="EI30" s="62"/>
      <c r="EJ30" s="45" t="str">
        <f aca="false">(IF(EM30="","◄",""))</f>
        <v>◄</v>
      </c>
      <c r="EK30" s="72" t="n">
        <v>0.15</v>
      </c>
      <c r="EL30" s="73" t="n">
        <f aca="false">(IF(EH30&lt;&gt;"",1/2,0)+IF(EI30&lt;&gt;"",1,0))*EK30*EK$25*20</f>
        <v>0</v>
      </c>
      <c r="EM30" s="48" t="str">
        <f aca="false">IF(COUNTBLANK(EF30:EI30)=3,1,"")</f>
        <v/>
      </c>
      <c r="EN30" s="74" t="n">
        <f aca="false">IF(EF30="",EK30,0)</f>
        <v>0.15</v>
      </c>
      <c r="EO30" s="79" t="n">
        <f aca="false">IF(EN30=0,0,EK30/SUM(EN$26:EN$32))</f>
        <v>0.15</v>
      </c>
      <c r="EP30" s="62"/>
      <c r="EQ30" s="62"/>
      <c r="ER30" s="62"/>
      <c r="ES30" s="62"/>
      <c r="ET30" s="45" t="str">
        <f aca="false">(IF(EW30="","◄",""))</f>
        <v>◄</v>
      </c>
      <c r="EU30" s="72" t="n">
        <v>0.15</v>
      </c>
      <c r="EV30" s="73" t="n">
        <f aca="false">(IF(ER30&lt;&gt;"",1/2,0)+IF(ES30&lt;&gt;"",1,0))*EU30*EU$25*20</f>
        <v>0</v>
      </c>
      <c r="EW30" s="48" t="str">
        <f aca="false">IF(COUNTBLANK(EP30:ES30)=3,1,"")</f>
        <v/>
      </c>
      <c r="EX30" s="74" t="n">
        <f aca="false">IF(EP30="",EU30,0)</f>
        <v>0.15</v>
      </c>
      <c r="EY30" s="79" t="n">
        <f aca="false">IF(EX30=0,0,EU30/SUM(EX$26:EX$32))</f>
        <v>0.15</v>
      </c>
      <c r="EZ30" s="62"/>
      <c r="FA30" s="62"/>
      <c r="FB30" s="62"/>
      <c r="FC30" s="62"/>
      <c r="FD30" s="45" t="str">
        <f aca="false">(IF(FG30="","◄",""))</f>
        <v>◄</v>
      </c>
      <c r="FE30" s="72" t="n">
        <v>0.15</v>
      </c>
      <c r="FF30" s="73" t="n">
        <f aca="false">(IF(FB30&lt;&gt;"",1/2,0)+IF(FC30&lt;&gt;"",1,0))*FE30*FE$25*20</f>
        <v>0</v>
      </c>
      <c r="FG30" s="48" t="str">
        <f aca="false">IF(COUNTBLANK(EZ30:FC30)=3,1,"")</f>
        <v/>
      </c>
      <c r="FH30" s="74" t="n">
        <f aca="false">IF(EZ30="",FE30,0)</f>
        <v>0.15</v>
      </c>
      <c r="FI30" s="79" t="n">
        <f aca="false">IF(FH30=0,0,FE30/SUM(FH$26:FH$32))</f>
        <v>0.15</v>
      </c>
      <c r="FJ30" s="62"/>
      <c r="FK30" s="62"/>
      <c r="FL30" s="62"/>
      <c r="FM30" s="62"/>
      <c r="FN30" s="45" t="str">
        <f aca="false">(IF(FQ30="","◄",""))</f>
        <v>◄</v>
      </c>
      <c r="FO30" s="72" t="n">
        <v>0.15</v>
      </c>
      <c r="FP30" s="73" t="n">
        <f aca="false">(IF(FL30&lt;&gt;"",1/2,0)+IF(FM30&lt;&gt;"",1,0))*FO30*FO$25*20</f>
        <v>0</v>
      </c>
      <c r="FQ30" s="48" t="str">
        <f aca="false">IF(COUNTBLANK(FJ30:FM30)=3,1,"")</f>
        <v/>
      </c>
      <c r="FR30" s="74" t="n">
        <f aca="false">IF(FJ30="",FO30,0)</f>
        <v>0.15</v>
      </c>
      <c r="FS30" s="79" t="n">
        <f aca="false">IF(FR30=0,0,FO30/SUM(FR$26:FR$32))</f>
        <v>0.15</v>
      </c>
      <c r="FT30" s="62"/>
      <c r="FU30" s="62"/>
      <c r="FV30" s="62"/>
      <c r="FW30" s="62"/>
      <c r="FX30" s="45" t="str">
        <f aca="false">(IF(GA30="","◄",""))</f>
        <v>◄</v>
      </c>
      <c r="FY30" s="72" t="n">
        <v>0.15</v>
      </c>
      <c r="FZ30" s="73" t="n">
        <f aca="false">(IF(FV30&lt;&gt;"",1/2,0)+IF(FW30&lt;&gt;"",1,0))*FY30*FY$25*20</f>
        <v>0</v>
      </c>
      <c r="GA30" s="48" t="str">
        <f aca="false">IF(COUNTBLANK(FT30:FW30)=3,1,"")</f>
        <v/>
      </c>
      <c r="GB30" s="74" t="n">
        <f aca="false">IF(FT30="",FY30,0)</f>
        <v>0.15</v>
      </c>
      <c r="GC30" s="79" t="n">
        <f aca="false">IF(GB30=0,0,FY30/SUM(GB$26:GB$32))</f>
        <v>0.15</v>
      </c>
      <c r="GD30" s="62"/>
      <c r="GE30" s="62"/>
      <c r="GF30" s="62"/>
      <c r="GG30" s="62"/>
      <c r="GH30" s="45" t="str">
        <f aca="false">(IF(GK30="","◄",""))</f>
        <v>◄</v>
      </c>
      <c r="GI30" s="72" t="n">
        <v>0.15</v>
      </c>
      <c r="GJ30" s="73" t="n">
        <f aca="false">(IF(GF30&lt;&gt;"",1/2,0)+IF(GG30&lt;&gt;"",1,0))*GI30*GI$25*20</f>
        <v>0</v>
      </c>
      <c r="GK30" s="48" t="str">
        <f aca="false">IF(COUNTBLANK(GD30:GG30)=3,1,"")</f>
        <v/>
      </c>
      <c r="GL30" s="74" t="n">
        <f aca="false">IF(GD30="",GI30,0)</f>
        <v>0.15</v>
      </c>
      <c r="GM30" s="79" t="n">
        <f aca="false">IF(GL30=0,0,GI30/SUM(GL$26:GL$32))</f>
        <v>0.15</v>
      </c>
      <c r="GN30" s="62"/>
      <c r="GO30" s="62"/>
      <c r="GP30" s="62"/>
      <c r="GQ30" s="62"/>
      <c r="GR30" s="45" t="str">
        <f aca="false">(IF(GU30="","◄",""))</f>
        <v>◄</v>
      </c>
      <c r="GS30" s="72" t="n">
        <v>0.15</v>
      </c>
      <c r="GT30" s="73" t="n">
        <f aca="false">(IF(GP30&lt;&gt;"",1/2,0)+IF(GQ30&lt;&gt;"",1,0))*GS30*GS$25*20</f>
        <v>0</v>
      </c>
      <c r="GU30" s="48" t="str">
        <f aca="false">IF(COUNTBLANK(GN30:GQ30)=3,1,"")</f>
        <v/>
      </c>
      <c r="GV30" s="74" t="n">
        <f aca="false">IF(GN30="",GS30,0)</f>
        <v>0.15</v>
      </c>
      <c r="GW30" s="79" t="n">
        <f aca="false">IF(GV30=0,0,GS30/SUM(GV$26:GV$32))</f>
        <v>0.15</v>
      </c>
      <c r="GX30" s="62"/>
      <c r="GY30" s="62"/>
      <c r="GZ30" s="62"/>
      <c r="HA30" s="62"/>
      <c r="HB30" s="45" t="str">
        <f aca="false">(IF(HE30="","◄",""))</f>
        <v>◄</v>
      </c>
      <c r="HC30" s="72" t="n">
        <v>0.15</v>
      </c>
      <c r="HD30" s="73" t="n">
        <f aca="false">(IF(GZ30&lt;&gt;"",1/2,0)+IF(HA30&lt;&gt;"",1,0))*HC30*HC$25*20</f>
        <v>0</v>
      </c>
      <c r="HE30" s="48" t="str">
        <f aca="false">IF(COUNTBLANK(GX30:HA30)=3,1,"")</f>
        <v/>
      </c>
      <c r="HF30" s="74" t="n">
        <f aca="false">IF(GX30="",HC30,0)</f>
        <v>0.15</v>
      </c>
      <c r="HG30" s="79" t="n">
        <f aca="false">IF(HF30=0,0,HC30/SUM(HF$26:HF$32))</f>
        <v>0.15</v>
      </c>
      <c r="HH30" s="62"/>
      <c r="HI30" s="62"/>
      <c r="HJ30" s="62"/>
      <c r="HK30" s="62"/>
      <c r="HL30" s="45" t="str">
        <f aca="false">(IF(HO30="","◄",""))</f>
        <v>◄</v>
      </c>
      <c r="HM30" s="72" t="n">
        <v>0.15</v>
      </c>
      <c r="HN30" s="73" t="n">
        <f aca="false">(IF(HJ30&lt;&gt;"",1/2,0)+IF(HK30&lt;&gt;"",1,0))*HM30*HM$25*20</f>
        <v>0</v>
      </c>
      <c r="HO30" s="48" t="str">
        <f aca="false">IF(COUNTBLANK(HH30:HK30)=3,1,"")</f>
        <v/>
      </c>
      <c r="HP30" s="74" t="n">
        <f aca="false">IF(HH30="",HM30,0)</f>
        <v>0.15</v>
      </c>
      <c r="HQ30" s="79" t="n">
        <f aca="false">IF(HP30=0,0,HM30/SUM(HP$26:HP$32))</f>
        <v>0.15</v>
      </c>
      <c r="HR30" s="62"/>
      <c r="HS30" s="62"/>
      <c r="HT30" s="62"/>
      <c r="HU30" s="62"/>
      <c r="HV30" s="45" t="str">
        <f aca="false">(IF(HY30="","◄",""))</f>
        <v>◄</v>
      </c>
      <c r="HW30" s="72" t="n">
        <v>0.15</v>
      </c>
      <c r="HX30" s="73" t="n">
        <f aca="false">(IF(HT30&lt;&gt;"",1/2,0)+IF(HU30&lt;&gt;"",1,0))*HW30*HW$25*20</f>
        <v>0</v>
      </c>
      <c r="HY30" s="48" t="str">
        <f aca="false">IF(COUNTBLANK(HR30:HU30)=3,1,"")</f>
        <v/>
      </c>
      <c r="HZ30" s="74" t="n">
        <f aca="false">IF(HR30="",HW30,0)</f>
        <v>0.15</v>
      </c>
      <c r="IA30" s="79" t="n">
        <f aca="false">IF(HZ30=0,0,HW30/SUM(HZ$26:HZ$32))</f>
        <v>0.15</v>
      </c>
      <c r="IB30" s="62"/>
      <c r="IC30" s="62"/>
      <c r="ID30" s="62"/>
      <c r="IE30" s="62"/>
      <c r="IF30" s="45" t="str">
        <f aca="false">(IF(II30="","◄",""))</f>
        <v>◄</v>
      </c>
      <c r="IG30" s="72" t="n">
        <v>0.15</v>
      </c>
      <c r="IH30" s="73" t="n">
        <f aca="false">(IF(ID30&lt;&gt;"",1/2,0)+IF(IE30&lt;&gt;"",1,0))*IG30*IG$25*20</f>
        <v>0</v>
      </c>
      <c r="II30" s="48" t="str">
        <f aca="false">IF(COUNTBLANK(IB30:IE30)=3,1,"")</f>
        <v/>
      </c>
      <c r="IJ30" s="74" t="n">
        <f aca="false">IF(IB30="",IG30,0)</f>
        <v>0.15</v>
      </c>
      <c r="IK30" s="79" t="n">
        <f aca="false">IF(IJ30=0,0,IG30/SUM(IJ$26:IJ$32))</f>
        <v>0.15</v>
      </c>
    </row>
    <row r="31" customFormat="false" ht="49.5" hidden="false" customHeight="true" outlineLevel="0" collapsed="false">
      <c r="A31" s="80"/>
      <c r="B31" s="81"/>
      <c r="C31" s="82"/>
      <c r="D31" s="52" t="s">
        <v>78</v>
      </c>
      <c r="E31" s="53" t="s">
        <v>79</v>
      </c>
      <c r="F31" s="62"/>
      <c r="G31" s="62"/>
      <c r="H31" s="62"/>
      <c r="I31" s="62"/>
      <c r="J31" s="45" t="str">
        <f aca="false">(IF(M31="","◄",""))</f>
        <v>◄</v>
      </c>
      <c r="K31" s="72" t="n">
        <v>0.15</v>
      </c>
      <c r="L31" s="73" t="n">
        <f aca="false">(IF(H31&lt;&gt;"",1/2,0)+IF(I31&lt;&gt;"",1,0))*K31*K$25*20</f>
        <v>0</v>
      </c>
      <c r="M31" s="48" t="str">
        <f aca="false">IF(COUNTBLANK(F31:I31)=3,1,"")</f>
        <v/>
      </c>
      <c r="N31" s="74" t="n">
        <f aca="false">IF(F31="",K31,0)</f>
        <v>0.15</v>
      </c>
      <c r="O31" s="79" t="n">
        <f aca="false">IF(N31=0,0,K31/SUM(N$26:N$32))</f>
        <v>0.15</v>
      </c>
      <c r="P31" s="62"/>
      <c r="Q31" s="62"/>
      <c r="R31" s="62"/>
      <c r="S31" s="62"/>
      <c r="T31" s="45" t="str">
        <f aca="false">(IF(W31="","◄",""))</f>
        <v>◄</v>
      </c>
      <c r="U31" s="72" t="n">
        <v>0.15</v>
      </c>
      <c r="V31" s="73" t="n">
        <f aca="false">(IF(R31&lt;&gt;"",1/2,0)+IF(S31&lt;&gt;"",1,0))*U31*U$25*20</f>
        <v>0</v>
      </c>
      <c r="W31" s="48" t="str">
        <f aca="false">IF(COUNTBLANK(P31:S31)=3,1,"")</f>
        <v/>
      </c>
      <c r="X31" s="74" t="n">
        <f aca="false">IF(P31="",U31,0)</f>
        <v>0.15</v>
      </c>
      <c r="Y31" s="79" t="n">
        <f aca="false">IF(X31=0,0,U31/SUM(X$26:X$32))</f>
        <v>0.15</v>
      </c>
      <c r="Z31" s="62"/>
      <c r="AA31" s="62"/>
      <c r="AB31" s="62"/>
      <c r="AC31" s="62"/>
      <c r="AD31" s="45" t="str">
        <f aca="false">(IF(AG31="","◄",""))</f>
        <v>◄</v>
      </c>
      <c r="AE31" s="72" t="n">
        <v>0.15</v>
      </c>
      <c r="AF31" s="73" t="n">
        <f aca="false">(IF(AB31&lt;&gt;"",1/2,0)+IF(AC31&lt;&gt;"",1,0))*AE31*AE$25*20</f>
        <v>0</v>
      </c>
      <c r="AG31" s="48" t="str">
        <f aca="false">IF(COUNTBLANK(Z31:AC31)=3,1,"")</f>
        <v/>
      </c>
      <c r="AH31" s="74" t="n">
        <f aca="false">IF(Z31="",AE31,0)</f>
        <v>0.15</v>
      </c>
      <c r="AI31" s="79" t="n">
        <f aca="false">IF(AH31=0,0,AE31/SUM(AH$26:AH$32))</f>
        <v>0.15</v>
      </c>
      <c r="AJ31" s="62"/>
      <c r="AK31" s="62"/>
      <c r="AL31" s="62"/>
      <c r="AM31" s="62"/>
      <c r="AN31" s="45" t="str">
        <f aca="false">(IF(AQ31="","◄",""))</f>
        <v>◄</v>
      </c>
      <c r="AO31" s="72" t="n">
        <v>0.15</v>
      </c>
      <c r="AP31" s="73" t="n">
        <f aca="false">(IF(AL31&lt;&gt;"",1/2,0)+IF(AM31&lt;&gt;"",1,0))*AO31*AO$25*20</f>
        <v>0</v>
      </c>
      <c r="AQ31" s="48" t="str">
        <f aca="false">IF(COUNTBLANK(AJ31:AM31)=3,1,"")</f>
        <v/>
      </c>
      <c r="AR31" s="74" t="n">
        <f aca="false">IF(AJ31="",AO31,0)</f>
        <v>0.15</v>
      </c>
      <c r="AS31" s="79" t="n">
        <f aca="false">IF(AR31=0,0,AO31/SUM(AR$26:AR$32))</f>
        <v>0.15</v>
      </c>
      <c r="AT31" s="62"/>
      <c r="AU31" s="62"/>
      <c r="AV31" s="62"/>
      <c r="AW31" s="62"/>
      <c r="AX31" s="45" t="str">
        <f aca="false">(IF(BA31="","◄",""))</f>
        <v>◄</v>
      </c>
      <c r="AY31" s="72" t="n">
        <v>0.15</v>
      </c>
      <c r="AZ31" s="73" t="n">
        <f aca="false">(IF(AV31&lt;&gt;"",1/2,0)+IF(AW31&lt;&gt;"",1,0))*AY31*AY$25*20</f>
        <v>0</v>
      </c>
      <c r="BA31" s="48" t="str">
        <f aca="false">IF(COUNTBLANK(AT31:AW31)=3,1,"")</f>
        <v/>
      </c>
      <c r="BB31" s="74" t="n">
        <f aca="false">IF(AT31="",AY31,0)</f>
        <v>0.15</v>
      </c>
      <c r="BC31" s="79" t="n">
        <f aca="false">IF(BB31=0,0,AY31/SUM(BB$26:BB$32))</f>
        <v>0.15</v>
      </c>
      <c r="BD31" s="62"/>
      <c r="BE31" s="62"/>
      <c r="BF31" s="62"/>
      <c r="BG31" s="62"/>
      <c r="BH31" s="45" t="str">
        <f aca="false">(IF(BK31="","◄",""))</f>
        <v>◄</v>
      </c>
      <c r="BI31" s="72" t="n">
        <v>0.15</v>
      </c>
      <c r="BJ31" s="73" t="n">
        <f aca="false">(IF(BF31&lt;&gt;"",1/2,0)+IF(BG31&lt;&gt;"",1,0))*BI31*BI$25*20</f>
        <v>0</v>
      </c>
      <c r="BK31" s="48" t="str">
        <f aca="false">IF(COUNTBLANK(BD31:BG31)=3,1,"")</f>
        <v/>
      </c>
      <c r="BL31" s="74" t="n">
        <f aca="false">IF(BD31="",BI31,0)</f>
        <v>0.15</v>
      </c>
      <c r="BM31" s="79" t="n">
        <f aca="false">IF(BL31=0,0,BI31/SUM(BL$26:BL$32))</f>
        <v>0.15</v>
      </c>
      <c r="BN31" s="62"/>
      <c r="BO31" s="62"/>
      <c r="BP31" s="62"/>
      <c r="BQ31" s="62"/>
      <c r="BR31" s="45" t="str">
        <f aca="false">(IF(BU31="","◄",""))</f>
        <v>◄</v>
      </c>
      <c r="BS31" s="72" t="n">
        <v>0.15</v>
      </c>
      <c r="BT31" s="73" t="n">
        <f aca="false">(IF(BP31&lt;&gt;"",1/2,0)+IF(BQ31&lt;&gt;"",1,0))*BS31*BS$25*20</f>
        <v>0</v>
      </c>
      <c r="BU31" s="48" t="str">
        <f aca="false">IF(COUNTBLANK(BN31:BQ31)=3,1,"")</f>
        <v/>
      </c>
      <c r="BV31" s="74" t="n">
        <f aca="false">IF(BN31="",BS31,0)</f>
        <v>0.15</v>
      </c>
      <c r="BW31" s="79" t="n">
        <f aca="false">IF(BV31=0,0,BS31/SUM(BV$26:BV$32))</f>
        <v>0.15</v>
      </c>
      <c r="BX31" s="62"/>
      <c r="BY31" s="62"/>
      <c r="BZ31" s="62"/>
      <c r="CA31" s="62"/>
      <c r="CB31" s="45" t="str">
        <f aca="false">(IF(CE31="","◄",""))</f>
        <v>◄</v>
      </c>
      <c r="CC31" s="72" t="n">
        <v>0.15</v>
      </c>
      <c r="CD31" s="73" t="n">
        <f aca="false">(IF(BZ31&lt;&gt;"",1/2,0)+IF(CA31&lt;&gt;"",1,0))*CC31*CC$25*20</f>
        <v>0</v>
      </c>
      <c r="CE31" s="48" t="str">
        <f aca="false">IF(COUNTBLANK(BX31:CA31)=3,1,"")</f>
        <v/>
      </c>
      <c r="CF31" s="74" t="n">
        <f aca="false">IF(BX31="",CC31,0)</f>
        <v>0.15</v>
      </c>
      <c r="CG31" s="79" t="n">
        <f aca="false">IF(CF31=0,0,CC31/SUM(CF$26:CF$32))</f>
        <v>0.15</v>
      </c>
      <c r="CH31" s="62"/>
      <c r="CI31" s="62"/>
      <c r="CJ31" s="62"/>
      <c r="CK31" s="62"/>
      <c r="CL31" s="45" t="str">
        <f aca="false">(IF(CO31="","◄",""))</f>
        <v>◄</v>
      </c>
      <c r="CM31" s="72" t="n">
        <v>0.15</v>
      </c>
      <c r="CN31" s="73" t="n">
        <f aca="false">(IF(CJ31&lt;&gt;"",1/2,0)+IF(CK31&lt;&gt;"",1,0))*CM31*CM$25*20</f>
        <v>0</v>
      </c>
      <c r="CO31" s="48" t="str">
        <f aca="false">IF(COUNTBLANK(CH31:CK31)=3,1,"")</f>
        <v/>
      </c>
      <c r="CP31" s="74" t="n">
        <f aca="false">IF(CH31="",CM31,0)</f>
        <v>0.15</v>
      </c>
      <c r="CQ31" s="79" t="n">
        <f aca="false">IF(CP31=0,0,CM31/SUM(CP$26:CP$32))</f>
        <v>0.15</v>
      </c>
      <c r="CR31" s="62"/>
      <c r="CS31" s="62"/>
      <c r="CT31" s="62"/>
      <c r="CU31" s="62"/>
      <c r="CV31" s="45" t="str">
        <f aca="false">(IF(CY31="","◄",""))</f>
        <v>◄</v>
      </c>
      <c r="CW31" s="72" t="n">
        <v>0.15</v>
      </c>
      <c r="CX31" s="73" t="n">
        <f aca="false">(IF(CT31&lt;&gt;"",1/2,0)+IF(CU31&lt;&gt;"",1,0))*CW31*CW$25*20</f>
        <v>0</v>
      </c>
      <c r="CY31" s="48" t="str">
        <f aca="false">IF(COUNTBLANK(CR31:CU31)=3,1,"")</f>
        <v/>
      </c>
      <c r="CZ31" s="74" t="n">
        <f aca="false">IF(CR31="",CW31,0)</f>
        <v>0.15</v>
      </c>
      <c r="DA31" s="79" t="n">
        <f aca="false">IF(CZ31=0,0,CW31/SUM(CZ$26:CZ$32))</f>
        <v>0.15</v>
      </c>
      <c r="DB31" s="62"/>
      <c r="DC31" s="62"/>
      <c r="DD31" s="62"/>
      <c r="DE31" s="62"/>
      <c r="DF31" s="45" t="str">
        <f aca="false">(IF(DI31="","◄",""))</f>
        <v>◄</v>
      </c>
      <c r="DG31" s="72" t="n">
        <v>0.15</v>
      </c>
      <c r="DH31" s="73" t="n">
        <f aca="false">(IF(DD31&lt;&gt;"",1/2,0)+IF(DE31&lt;&gt;"",1,0))*DG31*DG$25*20</f>
        <v>0</v>
      </c>
      <c r="DI31" s="48" t="str">
        <f aca="false">IF(COUNTBLANK(DB31:DE31)=3,1,"")</f>
        <v/>
      </c>
      <c r="DJ31" s="74" t="n">
        <f aca="false">IF(DB31="",DG31,0)</f>
        <v>0.15</v>
      </c>
      <c r="DK31" s="79" t="n">
        <f aca="false">IF(DJ31=0,0,DG31/SUM(DJ$26:DJ$32))</f>
        <v>0.15</v>
      </c>
      <c r="DL31" s="62"/>
      <c r="DM31" s="62"/>
      <c r="DN31" s="62"/>
      <c r="DO31" s="62"/>
      <c r="DP31" s="45" t="str">
        <f aca="false">(IF(DS31="","◄",""))</f>
        <v>◄</v>
      </c>
      <c r="DQ31" s="72" t="n">
        <v>0.15</v>
      </c>
      <c r="DR31" s="73" t="n">
        <f aca="false">(IF(DN31&lt;&gt;"",1/2,0)+IF(DO31&lt;&gt;"",1,0))*DQ31*DQ$25*20</f>
        <v>0</v>
      </c>
      <c r="DS31" s="48" t="str">
        <f aca="false">IF(COUNTBLANK(DL31:DO31)=3,1,"")</f>
        <v/>
      </c>
      <c r="DT31" s="74" t="n">
        <f aca="false">IF(DL31="",DQ31,0)</f>
        <v>0.15</v>
      </c>
      <c r="DU31" s="79" t="n">
        <f aca="false">IF(DT31=0,0,DQ31/SUM(DT$26:DT$32))</f>
        <v>0.15</v>
      </c>
      <c r="DV31" s="62"/>
      <c r="DW31" s="62"/>
      <c r="DX31" s="62"/>
      <c r="DY31" s="62"/>
      <c r="DZ31" s="45" t="str">
        <f aca="false">(IF(EC31="","◄",""))</f>
        <v>◄</v>
      </c>
      <c r="EA31" s="72" t="n">
        <v>0.15</v>
      </c>
      <c r="EB31" s="73" t="n">
        <f aca="false">(IF(DX31&lt;&gt;"",1/2,0)+IF(DY31&lt;&gt;"",1,0))*EA31*EA$25*20</f>
        <v>0</v>
      </c>
      <c r="EC31" s="48" t="str">
        <f aca="false">IF(COUNTBLANK(DV31:DY31)=3,1,"")</f>
        <v/>
      </c>
      <c r="ED31" s="74" t="n">
        <f aca="false">IF(DV31="",EA31,0)</f>
        <v>0.15</v>
      </c>
      <c r="EE31" s="79" t="n">
        <f aca="false">IF(ED31=0,0,EA31/SUM(ED$26:ED$32))</f>
        <v>0.15</v>
      </c>
      <c r="EF31" s="62"/>
      <c r="EG31" s="62"/>
      <c r="EH31" s="62"/>
      <c r="EI31" s="62"/>
      <c r="EJ31" s="45" t="str">
        <f aca="false">(IF(EM31="","◄",""))</f>
        <v>◄</v>
      </c>
      <c r="EK31" s="72" t="n">
        <v>0.15</v>
      </c>
      <c r="EL31" s="73" t="n">
        <f aca="false">(IF(EH31&lt;&gt;"",1/2,0)+IF(EI31&lt;&gt;"",1,0))*EK31*EK$25*20</f>
        <v>0</v>
      </c>
      <c r="EM31" s="48" t="str">
        <f aca="false">IF(COUNTBLANK(EF31:EI31)=3,1,"")</f>
        <v/>
      </c>
      <c r="EN31" s="74" t="n">
        <f aca="false">IF(EF31="",EK31,0)</f>
        <v>0.15</v>
      </c>
      <c r="EO31" s="79" t="n">
        <f aca="false">IF(EN31=0,0,EK31/SUM(EN$26:EN$32))</f>
        <v>0.15</v>
      </c>
      <c r="EP31" s="62"/>
      <c r="EQ31" s="62"/>
      <c r="ER31" s="62"/>
      <c r="ES31" s="62"/>
      <c r="ET31" s="45" t="str">
        <f aca="false">(IF(EW31="","◄",""))</f>
        <v>◄</v>
      </c>
      <c r="EU31" s="72" t="n">
        <v>0.15</v>
      </c>
      <c r="EV31" s="73" t="n">
        <f aca="false">(IF(ER31&lt;&gt;"",1/2,0)+IF(ES31&lt;&gt;"",1,0))*EU31*EU$25*20</f>
        <v>0</v>
      </c>
      <c r="EW31" s="48" t="str">
        <f aca="false">IF(COUNTBLANK(EP31:ES31)=3,1,"")</f>
        <v/>
      </c>
      <c r="EX31" s="74" t="n">
        <f aca="false">IF(EP31="",EU31,0)</f>
        <v>0.15</v>
      </c>
      <c r="EY31" s="79" t="n">
        <f aca="false">IF(EX31=0,0,EU31/SUM(EX$26:EX$32))</f>
        <v>0.15</v>
      </c>
      <c r="EZ31" s="62"/>
      <c r="FA31" s="62"/>
      <c r="FB31" s="62"/>
      <c r="FC31" s="62"/>
      <c r="FD31" s="45" t="str">
        <f aca="false">(IF(FG31="","◄",""))</f>
        <v>◄</v>
      </c>
      <c r="FE31" s="72" t="n">
        <v>0.15</v>
      </c>
      <c r="FF31" s="73" t="n">
        <f aca="false">(IF(FB31&lt;&gt;"",1/2,0)+IF(FC31&lt;&gt;"",1,0))*FE31*FE$25*20</f>
        <v>0</v>
      </c>
      <c r="FG31" s="48" t="str">
        <f aca="false">IF(COUNTBLANK(EZ31:FC31)=3,1,"")</f>
        <v/>
      </c>
      <c r="FH31" s="74" t="n">
        <f aca="false">IF(EZ31="",FE31,0)</f>
        <v>0.15</v>
      </c>
      <c r="FI31" s="79" t="n">
        <f aca="false">IF(FH31=0,0,FE31/SUM(FH$26:FH$32))</f>
        <v>0.15</v>
      </c>
      <c r="FJ31" s="62"/>
      <c r="FK31" s="62"/>
      <c r="FL31" s="62"/>
      <c r="FM31" s="62"/>
      <c r="FN31" s="45" t="str">
        <f aca="false">(IF(FQ31="","◄",""))</f>
        <v>◄</v>
      </c>
      <c r="FO31" s="72" t="n">
        <v>0.15</v>
      </c>
      <c r="FP31" s="73" t="n">
        <f aca="false">(IF(FL31&lt;&gt;"",1/2,0)+IF(FM31&lt;&gt;"",1,0))*FO31*FO$25*20</f>
        <v>0</v>
      </c>
      <c r="FQ31" s="48" t="str">
        <f aca="false">IF(COUNTBLANK(FJ31:FM31)=3,1,"")</f>
        <v/>
      </c>
      <c r="FR31" s="74" t="n">
        <f aca="false">IF(FJ31="",FO31,0)</f>
        <v>0.15</v>
      </c>
      <c r="FS31" s="79" t="n">
        <f aca="false">IF(FR31=0,0,FO31/SUM(FR$26:FR$32))</f>
        <v>0.15</v>
      </c>
      <c r="FT31" s="62"/>
      <c r="FU31" s="62"/>
      <c r="FV31" s="62"/>
      <c r="FW31" s="62"/>
      <c r="FX31" s="45" t="str">
        <f aca="false">(IF(GA31="","◄",""))</f>
        <v>◄</v>
      </c>
      <c r="FY31" s="72" t="n">
        <v>0.15</v>
      </c>
      <c r="FZ31" s="73" t="n">
        <f aca="false">(IF(FV31&lt;&gt;"",1/2,0)+IF(FW31&lt;&gt;"",1,0))*FY31*FY$25*20</f>
        <v>0</v>
      </c>
      <c r="GA31" s="48" t="str">
        <f aca="false">IF(COUNTBLANK(FT31:FW31)=3,1,"")</f>
        <v/>
      </c>
      <c r="GB31" s="74" t="n">
        <f aca="false">IF(FT31="",FY31,0)</f>
        <v>0.15</v>
      </c>
      <c r="GC31" s="79" t="n">
        <f aca="false">IF(GB31=0,0,FY31/SUM(GB$26:GB$32))</f>
        <v>0.15</v>
      </c>
      <c r="GD31" s="62"/>
      <c r="GE31" s="62"/>
      <c r="GF31" s="62"/>
      <c r="GG31" s="62"/>
      <c r="GH31" s="45" t="str">
        <f aca="false">(IF(GK31="","◄",""))</f>
        <v>◄</v>
      </c>
      <c r="GI31" s="72" t="n">
        <v>0.15</v>
      </c>
      <c r="GJ31" s="73" t="n">
        <f aca="false">(IF(GF31&lt;&gt;"",1/2,0)+IF(GG31&lt;&gt;"",1,0))*GI31*GI$25*20</f>
        <v>0</v>
      </c>
      <c r="GK31" s="48" t="str">
        <f aca="false">IF(COUNTBLANK(GD31:GG31)=3,1,"")</f>
        <v/>
      </c>
      <c r="GL31" s="74" t="n">
        <f aca="false">IF(GD31="",GI31,0)</f>
        <v>0.15</v>
      </c>
      <c r="GM31" s="79" t="n">
        <f aca="false">IF(GL31=0,0,GI31/SUM(GL$26:GL$32))</f>
        <v>0.15</v>
      </c>
      <c r="GN31" s="62"/>
      <c r="GO31" s="62"/>
      <c r="GP31" s="62"/>
      <c r="GQ31" s="62"/>
      <c r="GR31" s="45" t="str">
        <f aca="false">(IF(GU31="","◄",""))</f>
        <v>◄</v>
      </c>
      <c r="GS31" s="72" t="n">
        <v>0.15</v>
      </c>
      <c r="GT31" s="73" t="n">
        <f aca="false">(IF(GP31&lt;&gt;"",1/2,0)+IF(GQ31&lt;&gt;"",1,0))*GS31*GS$25*20</f>
        <v>0</v>
      </c>
      <c r="GU31" s="48" t="str">
        <f aca="false">IF(COUNTBLANK(GN31:GQ31)=3,1,"")</f>
        <v/>
      </c>
      <c r="GV31" s="74" t="n">
        <f aca="false">IF(GN31="",GS31,0)</f>
        <v>0.15</v>
      </c>
      <c r="GW31" s="79" t="n">
        <f aca="false">IF(GV31=0,0,GS31/SUM(GV$26:GV$32))</f>
        <v>0.15</v>
      </c>
      <c r="GX31" s="62"/>
      <c r="GY31" s="62"/>
      <c r="GZ31" s="62"/>
      <c r="HA31" s="62"/>
      <c r="HB31" s="45" t="str">
        <f aca="false">(IF(HE31="","◄",""))</f>
        <v>◄</v>
      </c>
      <c r="HC31" s="72" t="n">
        <v>0.15</v>
      </c>
      <c r="HD31" s="73" t="n">
        <f aca="false">(IF(GZ31&lt;&gt;"",1/2,0)+IF(HA31&lt;&gt;"",1,0))*HC31*HC$25*20</f>
        <v>0</v>
      </c>
      <c r="HE31" s="48" t="str">
        <f aca="false">IF(COUNTBLANK(GX31:HA31)=3,1,"")</f>
        <v/>
      </c>
      <c r="HF31" s="74" t="n">
        <f aca="false">IF(GX31="",HC31,0)</f>
        <v>0.15</v>
      </c>
      <c r="HG31" s="79" t="n">
        <f aca="false">IF(HF31=0,0,HC31/SUM(HF$26:HF$32))</f>
        <v>0.15</v>
      </c>
      <c r="HH31" s="62"/>
      <c r="HI31" s="62"/>
      <c r="HJ31" s="62"/>
      <c r="HK31" s="62"/>
      <c r="HL31" s="45" t="str">
        <f aca="false">(IF(HO31="","◄",""))</f>
        <v>◄</v>
      </c>
      <c r="HM31" s="72" t="n">
        <v>0.15</v>
      </c>
      <c r="HN31" s="73" t="n">
        <f aca="false">(IF(HJ31&lt;&gt;"",1/2,0)+IF(HK31&lt;&gt;"",1,0))*HM31*HM$25*20</f>
        <v>0</v>
      </c>
      <c r="HO31" s="48" t="str">
        <f aca="false">IF(COUNTBLANK(HH31:HK31)=3,1,"")</f>
        <v/>
      </c>
      <c r="HP31" s="74" t="n">
        <f aca="false">IF(HH31="",HM31,0)</f>
        <v>0.15</v>
      </c>
      <c r="HQ31" s="79" t="n">
        <f aca="false">IF(HP31=0,0,HM31/SUM(HP$26:HP$32))</f>
        <v>0.15</v>
      </c>
      <c r="HR31" s="62"/>
      <c r="HS31" s="62"/>
      <c r="HT31" s="62"/>
      <c r="HU31" s="62"/>
      <c r="HV31" s="45" t="str">
        <f aca="false">(IF(HY31="","◄",""))</f>
        <v>◄</v>
      </c>
      <c r="HW31" s="72" t="n">
        <v>0.15</v>
      </c>
      <c r="HX31" s="73" t="n">
        <f aca="false">(IF(HT31&lt;&gt;"",1/2,0)+IF(HU31&lt;&gt;"",1,0))*HW31*HW$25*20</f>
        <v>0</v>
      </c>
      <c r="HY31" s="48" t="str">
        <f aca="false">IF(COUNTBLANK(HR31:HU31)=3,1,"")</f>
        <v/>
      </c>
      <c r="HZ31" s="74" t="n">
        <f aca="false">IF(HR31="",HW31,0)</f>
        <v>0.15</v>
      </c>
      <c r="IA31" s="79" t="n">
        <f aca="false">IF(HZ31=0,0,HW31/SUM(HZ$26:HZ$32))</f>
        <v>0.15</v>
      </c>
      <c r="IB31" s="62"/>
      <c r="IC31" s="62"/>
      <c r="ID31" s="62"/>
      <c r="IE31" s="62"/>
      <c r="IF31" s="45" t="str">
        <f aca="false">(IF(II31="","◄",""))</f>
        <v>◄</v>
      </c>
      <c r="IG31" s="72" t="n">
        <v>0.15</v>
      </c>
      <c r="IH31" s="73" t="n">
        <f aca="false">(IF(ID31&lt;&gt;"",1/2,0)+IF(IE31&lt;&gt;"",1,0))*IG31*IG$25*20</f>
        <v>0</v>
      </c>
      <c r="II31" s="48" t="str">
        <f aca="false">IF(COUNTBLANK(IB31:IE31)=3,1,"")</f>
        <v/>
      </c>
      <c r="IJ31" s="74" t="n">
        <f aca="false">IF(IB31="",IG31,0)</f>
        <v>0.15</v>
      </c>
      <c r="IK31" s="79" t="n">
        <f aca="false">IF(IJ31=0,0,IG31/SUM(IJ$26:IJ$32))</f>
        <v>0.15</v>
      </c>
    </row>
    <row r="32" customFormat="false" ht="49.5" hidden="false" customHeight="true" outlineLevel="0" collapsed="false">
      <c r="A32" s="83"/>
      <c r="B32" s="81"/>
      <c r="C32" s="82"/>
      <c r="D32" s="52"/>
      <c r="E32" s="84" t="s">
        <v>80</v>
      </c>
      <c r="F32" s="62"/>
      <c r="G32" s="62"/>
      <c r="H32" s="62"/>
      <c r="I32" s="62"/>
      <c r="J32" s="45" t="str">
        <f aca="false">(IF(M32="","◄",""))</f>
        <v>◄</v>
      </c>
      <c r="K32" s="72" t="n">
        <v>0.1</v>
      </c>
      <c r="L32" s="73" t="n">
        <f aca="false">(IF(H32&lt;&gt;"",1/2,0)+IF(I32&lt;&gt;"",1,0))*K32*K$25*20</f>
        <v>0</v>
      </c>
      <c r="M32" s="48" t="str">
        <f aca="false">IF(COUNTBLANK(F32:I32)=3,1,"")</f>
        <v/>
      </c>
      <c r="N32" s="74" t="n">
        <f aca="false">IF(F32="",K32,0)</f>
        <v>0.1</v>
      </c>
      <c r="O32" s="79" t="n">
        <f aca="false">IF(N32=0,0,K32/SUM(N$26:N$32))</f>
        <v>0.1</v>
      </c>
      <c r="P32" s="62"/>
      <c r="Q32" s="62"/>
      <c r="R32" s="62"/>
      <c r="S32" s="62"/>
      <c r="T32" s="45" t="str">
        <f aca="false">(IF(W32="","◄",""))</f>
        <v>◄</v>
      </c>
      <c r="U32" s="72" t="n">
        <v>0.1</v>
      </c>
      <c r="V32" s="73" t="n">
        <f aca="false">(IF(R32&lt;&gt;"",1/2,0)+IF(S32&lt;&gt;"",1,0))*U32*U$25*20</f>
        <v>0</v>
      </c>
      <c r="W32" s="48" t="str">
        <f aca="false">IF(COUNTBLANK(P32:S32)=3,1,"")</f>
        <v/>
      </c>
      <c r="X32" s="74" t="n">
        <f aca="false">IF(P32="",U32,0)</f>
        <v>0.1</v>
      </c>
      <c r="Y32" s="79" t="n">
        <f aca="false">IF(X32=0,0,U32/SUM(X$26:X$32))</f>
        <v>0.1</v>
      </c>
      <c r="Z32" s="62"/>
      <c r="AA32" s="62"/>
      <c r="AB32" s="62"/>
      <c r="AC32" s="62"/>
      <c r="AD32" s="45" t="str">
        <f aca="false">(IF(AG32="","◄",""))</f>
        <v>◄</v>
      </c>
      <c r="AE32" s="72" t="n">
        <v>0.1</v>
      </c>
      <c r="AF32" s="73" t="n">
        <f aca="false">(IF(AB32&lt;&gt;"",1/2,0)+IF(AC32&lt;&gt;"",1,0))*AE32*AE$25*20</f>
        <v>0</v>
      </c>
      <c r="AG32" s="48" t="str">
        <f aca="false">IF(COUNTBLANK(Z32:AC32)=3,1,"")</f>
        <v/>
      </c>
      <c r="AH32" s="74" t="n">
        <f aca="false">IF(Z32="",AE32,0)</f>
        <v>0.1</v>
      </c>
      <c r="AI32" s="79" t="n">
        <f aca="false">IF(AH32=0,0,AE32/SUM(AH$26:AH$32))</f>
        <v>0.1</v>
      </c>
      <c r="AJ32" s="62"/>
      <c r="AK32" s="62"/>
      <c r="AL32" s="62"/>
      <c r="AM32" s="62"/>
      <c r="AN32" s="45" t="str">
        <f aca="false">(IF(AQ32="","◄",""))</f>
        <v>◄</v>
      </c>
      <c r="AO32" s="72" t="n">
        <v>0.1</v>
      </c>
      <c r="AP32" s="73" t="n">
        <f aca="false">(IF(AL32&lt;&gt;"",1/2,0)+IF(AM32&lt;&gt;"",1,0))*AO32*AO$25*20</f>
        <v>0</v>
      </c>
      <c r="AQ32" s="48" t="str">
        <f aca="false">IF(COUNTBLANK(AJ32:AM32)=3,1,"")</f>
        <v/>
      </c>
      <c r="AR32" s="74" t="n">
        <f aca="false">IF(AJ32="",AO32,0)</f>
        <v>0.1</v>
      </c>
      <c r="AS32" s="79" t="n">
        <f aca="false">IF(AR32=0,0,AO32/SUM(AR$26:AR$32))</f>
        <v>0.1</v>
      </c>
      <c r="AT32" s="62"/>
      <c r="AU32" s="62"/>
      <c r="AV32" s="62"/>
      <c r="AW32" s="62"/>
      <c r="AX32" s="45" t="str">
        <f aca="false">(IF(BA32="","◄",""))</f>
        <v>◄</v>
      </c>
      <c r="AY32" s="72" t="n">
        <v>0.1</v>
      </c>
      <c r="AZ32" s="73" t="n">
        <f aca="false">(IF(AV32&lt;&gt;"",1/2,0)+IF(AW32&lt;&gt;"",1,0))*AY32*AY$25*20</f>
        <v>0</v>
      </c>
      <c r="BA32" s="48" t="str">
        <f aca="false">IF(COUNTBLANK(AT32:AW32)=3,1,"")</f>
        <v/>
      </c>
      <c r="BB32" s="74" t="n">
        <f aca="false">IF(AT32="",AY32,0)</f>
        <v>0.1</v>
      </c>
      <c r="BC32" s="79" t="n">
        <f aca="false">IF(BB32=0,0,AY32/SUM(BB$26:BB$32))</f>
        <v>0.1</v>
      </c>
      <c r="BD32" s="62"/>
      <c r="BE32" s="62"/>
      <c r="BF32" s="62"/>
      <c r="BG32" s="62"/>
      <c r="BH32" s="45" t="str">
        <f aca="false">(IF(BK32="","◄",""))</f>
        <v>◄</v>
      </c>
      <c r="BI32" s="72" t="n">
        <v>0.1</v>
      </c>
      <c r="BJ32" s="73" t="n">
        <f aca="false">(IF(BF32&lt;&gt;"",1/2,0)+IF(BG32&lt;&gt;"",1,0))*BI32*BI$25*20</f>
        <v>0</v>
      </c>
      <c r="BK32" s="48" t="str">
        <f aca="false">IF(COUNTBLANK(BD32:BG32)=3,1,"")</f>
        <v/>
      </c>
      <c r="BL32" s="74" t="n">
        <f aca="false">IF(BD32="",BI32,0)</f>
        <v>0.1</v>
      </c>
      <c r="BM32" s="79" t="n">
        <f aca="false">IF(BL32=0,0,BI32/SUM(BL$26:BL$32))</f>
        <v>0.1</v>
      </c>
      <c r="BN32" s="62"/>
      <c r="BO32" s="62"/>
      <c r="BP32" s="62"/>
      <c r="BQ32" s="62"/>
      <c r="BR32" s="45" t="str">
        <f aca="false">(IF(BU32="","◄",""))</f>
        <v>◄</v>
      </c>
      <c r="BS32" s="72" t="n">
        <v>0.1</v>
      </c>
      <c r="BT32" s="73" t="n">
        <f aca="false">(IF(BP32&lt;&gt;"",1/2,0)+IF(BQ32&lt;&gt;"",1,0))*BS32*BS$25*20</f>
        <v>0</v>
      </c>
      <c r="BU32" s="48" t="str">
        <f aca="false">IF(COUNTBLANK(BN32:BQ32)=3,1,"")</f>
        <v/>
      </c>
      <c r="BV32" s="74" t="n">
        <f aca="false">IF(BN32="",BS32,0)</f>
        <v>0.1</v>
      </c>
      <c r="BW32" s="79" t="n">
        <f aca="false">IF(BV32=0,0,BS32/SUM(BV$26:BV$32))</f>
        <v>0.1</v>
      </c>
      <c r="BX32" s="62"/>
      <c r="BY32" s="62"/>
      <c r="BZ32" s="62"/>
      <c r="CA32" s="62"/>
      <c r="CB32" s="45" t="str">
        <f aca="false">(IF(CE32="","◄",""))</f>
        <v>◄</v>
      </c>
      <c r="CC32" s="72" t="n">
        <v>0.1</v>
      </c>
      <c r="CD32" s="73" t="n">
        <f aca="false">(IF(BZ32&lt;&gt;"",1/2,0)+IF(CA32&lt;&gt;"",1,0))*CC32*CC$25*20</f>
        <v>0</v>
      </c>
      <c r="CE32" s="48" t="str">
        <f aca="false">IF(COUNTBLANK(BX32:CA32)=3,1,"")</f>
        <v/>
      </c>
      <c r="CF32" s="74" t="n">
        <f aca="false">IF(BX32="",CC32,0)</f>
        <v>0.1</v>
      </c>
      <c r="CG32" s="79" t="n">
        <f aca="false">IF(CF32=0,0,CC32/SUM(CF$26:CF$32))</f>
        <v>0.1</v>
      </c>
      <c r="CH32" s="62"/>
      <c r="CI32" s="62"/>
      <c r="CJ32" s="62"/>
      <c r="CK32" s="62"/>
      <c r="CL32" s="45" t="str">
        <f aca="false">(IF(CO32="","◄",""))</f>
        <v>◄</v>
      </c>
      <c r="CM32" s="72" t="n">
        <v>0.1</v>
      </c>
      <c r="CN32" s="73" t="n">
        <f aca="false">(IF(CJ32&lt;&gt;"",1/2,0)+IF(CK32&lt;&gt;"",1,0))*CM32*CM$25*20</f>
        <v>0</v>
      </c>
      <c r="CO32" s="48" t="str">
        <f aca="false">IF(COUNTBLANK(CH32:CK32)=3,1,"")</f>
        <v/>
      </c>
      <c r="CP32" s="74" t="n">
        <f aca="false">IF(CH32="",CM32,0)</f>
        <v>0.1</v>
      </c>
      <c r="CQ32" s="79" t="n">
        <f aca="false">IF(CP32=0,0,CM32/SUM(CP$26:CP$32))</f>
        <v>0.1</v>
      </c>
      <c r="CR32" s="62"/>
      <c r="CS32" s="62"/>
      <c r="CT32" s="62"/>
      <c r="CU32" s="62"/>
      <c r="CV32" s="45" t="str">
        <f aca="false">(IF(CY32="","◄",""))</f>
        <v>◄</v>
      </c>
      <c r="CW32" s="72" t="n">
        <v>0.1</v>
      </c>
      <c r="CX32" s="73" t="n">
        <f aca="false">(IF(CT32&lt;&gt;"",1/2,0)+IF(CU32&lt;&gt;"",1,0))*CW32*CW$25*20</f>
        <v>0</v>
      </c>
      <c r="CY32" s="48" t="str">
        <f aca="false">IF(COUNTBLANK(CR32:CU32)=3,1,"")</f>
        <v/>
      </c>
      <c r="CZ32" s="74" t="n">
        <f aca="false">IF(CR32="",CW32,0)</f>
        <v>0.1</v>
      </c>
      <c r="DA32" s="79" t="n">
        <f aca="false">IF(CZ32=0,0,CW32/SUM(CZ$26:CZ$32))</f>
        <v>0.1</v>
      </c>
      <c r="DB32" s="62"/>
      <c r="DC32" s="62"/>
      <c r="DD32" s="62"/>
      <c r="DE32" s="62"/>
      <c r="DF32" s="45" t="str">
        <f aca="false">(IF(DI32="","◄",""))</f>
        <v>◄</v>
      </c>
      <c r="DG32" s="72" t="n">
        <v>0.1</v>
      </c>
      <c r="DH32" s="73" t="n">
        <f aca="false">(IF(DD32&lt;&gt;"",1/2,0)+IF(DE32&lt;&gt;"",1,0))*DG32*DG$25*20</f>
        <v>0</v>
      </c>
      <c r="DI32" s="48" t="str">
        <f aca="false">IF(COUNTBLANK(DB32:DE32)=3,1,"")</f>
        <v/>
      </c>
      <c r="DJ32" s="74" t="n">
        <f aca="false">IF(DB32="",DG32,0)</f>
        <v>0.1</v>
      </c>
      <c r="DK32" s="79" t="n">
        <f aca="false">IF(DJ32=0,0,DG32/SUM(DJ$26:DJ$32))</f>
        <v>0.1</v>
      </c>
      <c r="DL32" s="62"/>
      <c r="DM32" s="62"/>
      <c r="DN32" s="62"/>
      <c r="DO32" s="62"/>
      <c r="DP32" s="45" t="str">
        <f aca="false">(IF(DS32="","◄",""))</f>
        <v>◄</v>
      </c>
      <c r="DQ32" s="72" t="n">
        <v>0.1</v>
      </c>
      <c r="DR32" s="73" t="n">
        <f aca="false">(IF(DN32&lt;&gt;"",1/2,0)+IF(DO32&lt;&gt;"",1,0))*DQ32*DQ$25*20</f>
        <v>0</v>
      </c>
      <c r="DS32" s="48" t="str">
        <f aca="false">IF(COUNTBLANK(DL32:DO32)=3,1,"")</f>
        <v/>
      </c>
      <c r="DT32" s="74" t="n">
        <f aca="false">IF(DL32="",DQ32,0)</f>
        <v>0.1</v>
      </c>
      <c r="DU32" s="79" t="n">
        <f aca="false">IF(DT32=0,0,DQ32/SUM(DT$26:DT$32))</f>
        <v>0.1</v>
      </c>
      <c r="DV32" s="62"/>
      <c r="DW32" s="62"/>
      <c r="DX32" s="62"/>
      <c r="DY32" s="62"/>
      <c r="DZ32" s="45" t="str">
        <f aca="false">(IF(EC32="","◄",""))</f>
        <v>◄</v>
      </c>
      <c r="EA32" s="72" t="n">
        <v>0.1</v>
      </c>
      <c r="EB32" s="73" t="n">
        <f aca="false">(IF(DX32&lt;&gt;"",1/2,0)+IF(DY32&lt;&gt;"",1,0))*EA32*EA$25*20</f>
        <v>0</v>
      </c>
      <c r="EC32" s="48" t="str">
        <f aca="false">IF(COUNTBLANK(DV32:DY32)=3,1,"")</f>
        <v/>
      </c>
      <c r="ED32" s="74" t="n">
        <f aca="false">IF(DV32="",EA32,0)</f>
        <v>0.1</v>
      </c>
      <c r="EE32" s="79" t="n">
        <f aca="false">IF(ED32=0,0,EA32/SUM(ED$26:ED$32))</f>
        <v>0.1</v>
      </c>
      <c r="EF32" s="62"/>
      <c r="EG32" s="62"/>
      <c r="EH32" s="62"/>
      <c r="EI32" s="62"/>
      <c r="EJ32" s="45" t="str">
        <f aca="false">(IF(EM32="","◄",""))</f>
        <v>◄</v>
      </c>
      <c r="EK32" s="72" t="n">
        <v>0.1</v>
      </c>
      <c r="EL32" s="73" t="n">
        <f aca="false">(IF(EH32&lt;&gt;"",1/2,0)+IF(EI32&lt;&gt;"",1,0))*EK32*EK$25*20</f>
        <v>0</v>
      </c>
      <c r="EM32" s="48" t="str">
        <f aca="false">IF(COUNTBLANK(EF32:EI32)=3,1,"")</f>
        <v/>
      </c>
      <c r="EN32" s="74" t="n">
        <f aca="false">IF(EF32="",EK32,0)</f>
        <v>0.1</v>
      </c>
      <c r="EO32" s="79" t="n">
        <f aca="false">IF(EN32=0,0,EK32/SUM(EN$26:EN$32))</f>
        <v>0.1</v>
      </c>
      <c r="EP32" s="62"/>
      <c r="EQ32" s="62"/>
      <c r="ER32" s="62"/>
      <c r="ES32" s="62"/>
      <c r="ET32" s="45" t="str">
        <f aca="false">(IF(EW32="","◄",""))</f>
        <v>◄</v>
      </c>
      <c r="EU32" s="72" t="n">
        <v>0.1</v>
      </c>
      <c r="EV32" s="73" t="n">
        <f aca="false">(IF(ER32&lt;&gt;"",1/2,0)+IF(ES32&lt;&gt;"",1,0))*EU32*EU$25*20</f>
        <v>0</v>
      </c>
      <c r="EW32" s="48" t="str">
        <f aca="false">IF(COUNTBLANK(EP32:ES32)=3,1,"")</f>
        <v/>
      </c>
      <c r="EX32" s="74" t="n">
        <f aca="false">IF(EP32="",EU32,0)</f>
        <v>0.1</v>
      </c>
      <c r="EY32" s="79" t="n">
        <f aca="false">IF(EX32=0,0,EU32/SUM(EX$26:EX$32))</f>
        <v>0.1</v>
      </c>
      <c r="EZ32" s="62"/>
      <c r="FA32" s="62"/>
      <c r="FB32" s="62"/>
      <c r="FC32" s="62"/>
      <c r="FD32" s="45" t="str">
        <f aca="false">(IF(FG32="","◄",""))</f>
        <v>◄</v>
      </c>
      <c r="FE32" s="72" t="n">
        <v>0.1</v>
      </c>
      <c r="FF32" s="73" t="n">
        <f aca="false">(IF(FB32&lt;&gt;"",1/2,0)+IF(FC32&lt;&gt;"",1,0))*FE32*FE$25*20</f>
        <v>0</v>
      </c>
      <c r="FG32" s="48" t="str">
        <f aca="false">IF(COUNTBLANK(EZ32:FC32)=3,1,"")</f>
        <v/>
      </c>
      <c r="FH32" s="74" t="n">
        <f aca="false">IF(EZ32="",FE32,0)</f>
        <v>0.1</v>
      </c>
      <c r="FI32" s="79" t="n">
        <f aca="false">IF(FH32=0,0,FE32/SUM(FH$26:FH$32))</f>
        <v>0.1</v>
      </c>
      <c r="FJ32" s="62"/>
      <c r="FK32" s="62"/>
      <c r="FL32" s="62"/>
      <c r="FM32" s="62"/>
      <c r="FN32" s="45" t="str">
        <f aca="false">(IF(FQ32="","◄",""))</f>
        <v>◄</v>
      </c>
      <c r="FO32" s="72" t="n">
        <v>0.1</v>
      </c>
      <c r="FP32" s="73" t="n">
        <f aca="false">(IF(FL32&lt;&gt;"",1/2,0)+IF(FM32&lt;&gt;"",1,0))*FO32*FO$25*20</f>
        <v>0</v>
      </c>
      <c r="FQ32" s="48" t="str">
        <f aca="false">IF(COUNTBLANK(FJ32:FM32)=3,1,"")</f>
        <v/>
      </c>
      <c r="FR32" s="74" t="n">
        <f aca="false">IF(FJ32="",FO32,0)</f>
        <v>0.1</v>
      </c>
      <c r="FS32" s="79" t="n">
        <f aca="false">IF(FR32=0,0,FO32/SUM(FR$26:FR$32))</f>
        <v>0.1</v>
      </c>
      <c r="FT32" s="62"/>
      <c r="FU32" s="62"/>
      <c r="FV32" s="62"/>
      <c r="FW32" s="62"/>
      <c r="FX32" s="45" t="str">
        <f aca="false">(IF(GA32="","◄",""))</f>
        <v>◄</v>
      </c>
      <c r="FY32" s="72" t="n">
        <v>0.1</v>
      </c>
      <c r="FZ32" s="73" t="n">
        <f aca="false">(IF(FV32&lt;&gt;"",1/2,0)+IF(FW32&lt;&gt;"",1,0))*FY32*FY$25*20</f>
        <v>0</v>
      </c>
      <c r="GA32" s="48" t="str">
        <f aca="false">IF(COUNTBLANK(FT32:FW32)=3,1,"")</f>
        <v/>
      </c>
      <c r="GB32" s="74" t="n">
        <f aca="false">IF(FT32="",FY32,0)</f>
        <v>0.1</v>
      </c>
      <c r="GC32" s="79" t="n">
        <f aca="false">IF(GB32=0,0,FY32/SUM(GB$26:GB$32))</f>
        <v>0.1</v>
      </c>
      <c r="GD32" s="62"/>
      <c r="GE32" s="62"/>
      <c r="GF32" s="62"/>
      <c r="GG32" s="62"/>
      <c r="GH32" s="45" t="str">
        <f aca="false">(IF(GK32="","◄",""))</f>
        <v>◄</v>
      </c>
      <c r="GI32" s="72" t="n">
        <v>0.1</v>
      </c>
      <c r="GJ32" s="73" t="n">
        <f aca="false">(IF(GF32&lt;&gt;"",1/2,0)+IF(GG32&lt;&gt;"",1,0))*GI32*GI$25*20</f>
        <v>0</v>
      </c>
      <c r="GK32" s="48" t="str">
        <f aca="false">IF(COUNTBLANK(GD32:GG32)=3,1,"")</f>
        <v/>
      </c>
      <c r="GL32" s="74" t="n">
        <f aca="false">IF(GD32="",GI32,0)</f>
        <v>0.1</v>
      </c>
      <c r="GM32" s="79" t="n">
        <f aca="false">IF(GL32=0,0,GI32/SUM(GL$26:GL$32))</f>
        <v>0.1</v>
      </c>
      <c r="GN32" s="62"/>
      <c r="GO32" s="62"/>
      <c r="GP32" s="62"/>
      <c r="GQ32" s="62"/>
      <c r="GR32" s="45" t="str">
        <f aca="false">(IF(GU32="","◄",""))</f>
        <v>◄</v>
      </c>
      <c r="GS32" s="72" t="n">
        <v>0.1</v>
      </c>
      <c r="GT32" s="73" t="n">
        <f aca="false">(IF(GP32&lt;&gt;"",1/2,0)+IF(GQ32&lt;&gt;"",1,0))*GS32*GS$25*20</f>
        <v>0</v>
      </c>
      <c r="GU32" s="48" t="str">
        <f aca="false">IF(COUNTBLANK(GN32:GQ32)=3,1,"")</f>
        <v/>
      </c>
      <c r="GV32" s="74" t="n">
        <f aca="false">IF(GN32="",GS32,0)</f>
        <v>0.1</v>
      </c>
      <c r="GW32" s="79" t="n">
        <f aca="false">IF(GV32=0,0,GS32/SUM(GV$26:GV$32))</f>
        <v>0.1</v>
      </c>
      <c r="GX32" s="62"/>
      <c r="GY32" s="62"/>
      <c r="GZ32" s="62"/>
      <c r="HA32" s="62"/>
      <c r="HB32" s="45" t="str">
        <f aca="false">(IF(HE32="","◄",""))</f>
        <v>◄</v>
      </c>
      <c r="HC32" s="72" t="n">
        <v>0.1</v>
      </c>
      <c r="HD32" s="73" t="n">
        <f aca="false">(IF(GZ32&lt;&gt;"",1/2,0)+IF(HA32&lt;&gt;"",1,0))*HC32*HC$25*20</f>
        <v>0</v>
      </c>
      <c r="HE32" s="48" t="str">
        <f aca="false">IF(COUNTBLANK(GX32:HA32)=3,1,"")</f>
        <v/>
      </c>
      <c r="HF32" s="74" t="n">
        <f aca="false">IF(GX32="",HC32,0)</f>
        <v>0.1</v>
      </c>
      <c r="HG32" s="79" t="n">
        <f aca="false">IF(HF32=0,0,HC32/SUM(HF$26:HF$32))</f>
        <v>0.1</v>
      </c>
      <c r="HH32" s="62"/>
      <c r="HI32" s="62"/>
      <c r="HJ32" s="62"/>
      <c r="HK32" s="62"/>
      <c r="HL32" s="45" t="str">
        <f aca="false">(IF(HO32="","◄",""))</f>
        <v>◄</v>
      </c>
      <c r="HM32" s="72" t="n">
        <v>0.1</v>
      </c>
      <c r="HN32" s="73" t="n">
        <f aca="false">(IF(HJ32&lt;&gt;"",1/2,0)+IF(HK32&lt;&gt;"",1,0))*HM32*HM$25*20</f>
        <v>0</v>
      </c>
      <c r="HO32" s="48" t="str">
        <f aca="false">IF(COUNTBLANK(HH32:HK32)=3,1,"")</f>
        <v/>
      </c>
      <c r="HP32" s="74" t="n">
        <f aca="false">IF(HH32="",HM32,0)</f>
        <v>0.1</v>
      </c>
      <c r="HQ32" s="79" t="n">
        <f aca="false">IF(HP32=0,0,HM32/SUM(HP$26:HP$32))</f>
        <v>0.1</v>
      </c>
      <c r="HR32" s="62"/>
      <c r="HS32" s="62"/>
      <c r="HT32" s="62"/>
      <c r="HU32" s="62"/>
      <c r="HV32" s="45" t="str">
        <f aca="false">(IF(HY32="","◄",""))</f>
        <v>◄</v>
      </c>
      <c r="HW32" s="72" t="n">
        <v>0.1</v>
      </c>
      <c r="HX32" s="73" t="n">
        <f aca="false">(IF(HT32&lt;&gt;"",1/2,0)+IF(HU32&lt;&gt;"",1,0))*HW32*HW$25*20</f>
        <v>0</v>
      </c>
      <c r="HY32" s="48" t="str">
        <f aca="false">IF(COUNTBLANK(HR32:HU32)=3,1,"")</f>
        <v/>
      </c>
      <c r="HZ32" s="74" t="n">
        <f aca="false">IF(HR32="",HW32,0)</f>
        <v>0.1</v>
      </c>
      <c r="IA32" s="79" t="n">
        <f aca="false">IF(HZ32=0,0,HW32/SUM(HZ$26:HZ$32))</f>
        <v>0.1</v>
      </c>
      <c r="IB32" s="62"/>
      <c r="IC32" s="62"/>
      <c r="ID32" s="62"/>
      <c r="IE32" s="62"/>
      <c r="IF32" s="45" t="str">
        <f aca="false">(IF(II32="","◄",""))</f>
        <v>◄</v>
      </c>
      <c r="IG32" s="72" t="n">
        <v>0.1</v>
      </c>
      <c r="IH32" s="73" t="n">
        <f aca="false">(IF(ID32&lt;&gt;"",1/2,0)+IF(IE32&lt;&gt;"",1,0))*IG32*IG$25*20</f>
        <v>0</v>
      </c>
      <c r="II32" s="48" t="str">
        <f aca="false">IF(COUNTBLANK(IB32:IE32)=3,1,"")</f>
        <v/>
      </c>
      <c r="IJ32" s="74" t="n">
        <f aca="false">IF(IB32="",IG32,0)</f>
        <v>0.1</v>
      </c>
      <c r="IK32" s="79" t="n">
        <f aca="false">IF(IJ32=0,0,IG32/SUM(IJ$26:IJ$32))</f>
        <v>0.1</v>
      </c>
    </row>
    <row r="33" customFormat="false" ht="49.5" hidden="false" customHeight="true" outlineLevel="0" collapsed="false">
      <c r="A33" s="83"/>
      <c r="B33" s="81"/>
      <c r="C33" s="85"/>
      <c r="D33" s="86" t="s">
        <v>81</v>
      </c>
      <c r="E33" s="57" t="s">
        <v>82</v>
      </c>
      <c r="F33" s="87"/>
      <c r="G33" s="67"/>
      <c r="H33" s="67"/>
      <c r="I33" s="67"/>
      <c r="J33" s="59"/>
      <c r="K33" s="68" t="n">
        <v>0.25</v>
      </c>
      <c r="L33" s="35" t="n">
        <f aca="false">SUM(L34:L41)</f>
        <v>0</v>
      </c>
      <c r="M33" s="48"/>
      <c r="N33" s="69" t="n">
        <f aca="false">SUM(N34:N41)*K33</f>
        <v>0.25</v>
      </c>
      <c r="O33" s="70" t="n">
        <f aca="false">IF(SUM(N34:N41)=0,K33,0)</f>
        <v>0</v>
      </c>
      <c r="P33" s="87"/>
      <c r="Q33" s="67"/>
      <c r="R33" s="67"/>
      <c r="S33" s="67"/>
      <c r="T33" s="59"/>
      <c r="U33" s="68" t="n">
        <v>0.25</v>
      </c>
      <c r="V33" s="35" t="n">
        <f aca="false">SUM(V34:V41)</f>
        <v>0</v>
      </c>
      <c r="W33" s="48"/>
      <c r="X33" s="69" t="n">
        <f aca="false">SUM(X34:X41)*U33</f>
        <v>0.25</v>
      </c>
      <c r="Y33" s="70" t="n">
        <f aca="false">IF(SUM(X34:X41)=0,U33,0)</f>
        <v>0</v>
      </c>
      <c r="Z33" s="87"/>
      <c r="AA33" s="67"/>
      <c r="AB33" s="67"/>
      <c r="AC33" s="67"/>
      <c r="AD33" s="59"/>
      <c r="AE33" s="68" t="n">
        <v>0.25</v>
      </c>
      <c r="AF33" s="35" t="n">
        <f aca="false">SUM(AF34:AF41)</f>
        <v>0</v>
      </c>
      <c r="AG33" s="48"/>
      <c r="AH33" s="69" t="n">
        <f aca="false">SUM(AH34:AH41)*AE33</f>
        <v>0.25</v>
      </c>
      <c r="AI33" s="70" t="n">
        <f aca="false">IF(SUM(AH34:AH41)=0,AE33,0)</f>
        <v>0</v>
      </c>
      <c r="AJ33" s="87"/>
      <c r="AK33" s="67"/>
      <c r="AL33" s="67"/>
      <c r="AM33" s="67"/>
      <c r="AN33" s="59"/>
      <c r="AO33" s="68" t="n">
        <v>0.25</v>
      </c>
      <c r="AP33" s="35" t="n">
        <f aca="false">SUM(AP34:AP41)</f>
        <v>0</v>
      </c>
      <c r="AQ33" s="48"/>
      <c r="AR33" s="69" t="n">
        <f aca="false">SUM(AR34:AR41)*AO33</f>
        <v>0.25</v>
      </c>
      <c r="AS33" s="70" t="n">
        <f aca="false">IF(SUM(AR34:AR41)=0,AO33,0)</f>
        <v>0</v>
      </c>
      <c r="AT33" s="87"/>
      <c r="AU33" s="67"/>
      <c r="AV33" s="67"/>
      <c r="AW33" s="67"/>
      <c r="AX33" s="59"/>
      <c r="AY33" s="68" t="n">
        <v>0.25</v>
      </c>
      <c r="AZ33" s="35" t="n">
        <f aca="false">SUM(AZ34:AZ41)</f>
        <v>0</v>
      </c>
      <c r="BA33" s="48"/>
      <c r="BB33" s="69" t="n">
        <f aca="false">SUM(BB34:BB41)*AY33</f>
        <v>0.25</v>
      </c>
      <c r="BC33" s="70" t="n">
        <f aca="false">IF(SUM(BB34:BB41)=0,AY33,0)</f>
        <v>0</v>
      </c>
      <c r="BD33" s="87"/>
      <c r="BE33" s="67"/>
      <c r="BF33" s="67"/>
      <c r="BG33" s="67"/>
      <c r="BH33" s="59"/>
      <c r="BI33" s="68" t="n">
        <v>0.25</v>
      </c>
      <c r="BJ33" s="35" t="n">
        <f aca="false">SUM(BJ34:BJ41)</f>
        <v>0</v>
      </c>
      <c r="BK33" s="48"/>
      <c r="BL33" s="69" t="n">
        <f aca="false">SUM(BL34:BL41)*BI33</f>
        <v>0.25</v>
      </c>
      <c r="BM33" s="70" t="n">
        <f aca="false">IF(SUM(BL34:BL41)=0,BI33,0)</f>
        <v>0</v>
      </c>
      <c r="BN33" s="87"/>
      <c r="BO33" s="67"/>
      <c r="BP33" s="67"/>
      <c r="BQ33" s="67"/>
      <c r="BR33" s="59"/>
      <c r="BS33" s="68" t="n">
        <v>0.25</v>
      </c>
      <c r="BT33" s="35" t="n">
        <f aca="false">SUM(BT34:BT41)</f>
        <v>0</v>
      </c>
      <c r="BU33" s="48"/>
      <c r="BV33" s="69" t="n">
        <f aca="false">SUM(BV34:BV41)*BS33</f>
        <v>0.25</v>
      </c>
      <c r="BW33" s="70" t="n">
        <f aca="false">IF(SUM(BV34:BV41)=0,BS33,0)</f>
        <v>0</v>
      </c>
      <c r="BX33" s="87"/>
      <c r="BY33" s="67"/>
      <c r="BZ33" s="67"/>
      <c r="CA33" s="67"/>
      <c r="CB33" s="59"/>
      <c r="CC33" s="68" t="n">
        <v>0.25</v>
      </c>
      <c r="CD33" s="35" t="n">
        <f aca="false">SUM(CD34:CD41)</f>
        <v>0</v>
      </c>
      <c r="CE33" s="48"/>
      <c r="CF33" s="69" t="n">
        <f aca="false">SUM(CF34:CF41)*CC33</f>
        <v>0.25</v>
      </c>
      <c r="CG33" s="70" t="n">
        <f aca="false">IF(SUM(CF34:CF41)=0,CC33,0)</f>
        <v>0</v>
      </c>
      <c r="CH33" s="87"/>
      <c r="CI33" s="67"/>
      <c r="CJ33" s="67"/>
      <c r="CK33" s="67"/>
      <c r="CL33" s="59"/>
      <c r="CM33" s="68" t="n">
        <v>0.25</v>
      </c>
      <c r="CN33" s="35" t="n">
        <f aca="false">SUM(CN34:CN41)</f>
        <v>0</v>
      </c>
      <c r="CO33" s="48"/>
      <c r="CP33" s="69" t="n">
        <f aca="false">SUM(CP34:CP41)*CM33</f>
        <v>0.25</v>
      </c>
      <c r="CQ33" s="70" t="n">
        <f aca="false">IF(SUM(CP34:CP41)=0,CM33,0)</f>
        <v>0</v>
      </c>
      <c r="CR33" s="87"/>
      <c r="CS33" s="67"/>
      <c r="CT33" s="67"/>
      <c r="CU33" s="67"/>
      <c r="CV33" s="59"/>
      <c r="CW33" s="68" t="n">
        <v>0.25</v>
      </c>
      <c r="CX33" s="35" t="n">
        <f aca="false">SUM(CX34:CX41)</f>
        <v>0</v>
      </c>
      <c r="CY33" s="48"/>
      <c r="CZ33" s="69" t="n">
        <f aca="false">SUM(CZ34:CZ41)*CW33</f>
        <v>0.25</v>
      </c>
      <c r="DA33" s="70" t="n">
        <f aca="false">IF(SUM(CZ34:CZ41)=0,CW33,0)</f>
        <v>0</v>
      </c>
      <c r="DB33" s="87"/>
      <c r="DC33" s="67"/>
      <c r="DD33" s="67"/>
      <c r="DE33" s="67"/>
      <c r="DF33" s="59"/>
      <c r="DG33" s="68" t="n">
        <v>0.25</v>
      </c>
      <c r="DH33" s="35" t="n">
        <f aca="false">SUM(DH34:DH41)</f>
        <v>0</v>
      </c>
      <c r="DI33" s="48"/>
      <c r="DJ33" s="69" t="n">
        <f aca="false">SUM(DJ34:DJ41)*DG33</f>
        <v>0.25</v>
      </c>
      <c r="DK33" s="70" t="n">
        <f aca="false">IF(SUM(DJ34:DJ41)=0,DG33,0)</f>
        <v>0</v>
      </c>
      <c r="DL33" s="87"/>
      <c r="DM33" s="67"/>
      <c r="DN33" s="67"/>
      <c r="DO33" s="67"/>
      <c r="DP33" s="59"/>
      <c r="DQ33" s="68" t="n">
        <v>0.25</v>
      </c>
      <c r="DR33" s="35" t="n">
        <f aca="false">SUM(DR34:DR41)</f>
        <v>0</v>
      </c>
      <c r="DS33" s="48"/>
      <c r="DT33" s="69" t="n">
        <f aca="false">SUM(DT34:DT41)*DQ33</f>
        <v>0.25</v>
      </c>
      <c r="DU33" s="70" t="n">
        <f aca="false">IF(SUM(DT34:DT41)=0,DQ33,0)</f>
        <v>0</v>
      </c>
      <c r="DV33" s="87"/>
      <c r="DW33" s="67"/>
      <c r="DX33" s="67"/>
      <c r="DY33" s="67"/>
      <c r="DZ33" s="59"/>
      <c r="EA33" s="68" t="n">
        <v>0.25</v>
      </c>
      <c r="EB33" s="35" t="n">
        <f aca="false">SUM(EB34:EB41)</f>
        <v>0</v>
      </c>
      <c r="EC33" s="48"/>
      <c r="ED33" s="69" t="n">
        <f aca="false">SUM(ED34:ED41)*EA33</f>
        <v>0.25</v>
      </c>
      <c r="EE33" s="70" t="n">
        <f aca="false">IF(SUM(ED34:ED41)=0,EA33,0)</f>
        <v>0</v>
      </c>
      <c r="EF33" s="87"/>
      <c r="EG33" s="67"/>
      <c r="EH33" s="67"/>
      <c r="EI33" s="67"/>
      <c r="EJ33" s="59"/>
      <c r="EK33" s="68" t="n">
        <v>0.25</v>
      </c>
      <c r="EL33" s="35" t="n">
        <f aca="false">SUM(EL34:EL41)</f>
        <v>0</v>
      </c>
      <c r="EM33" s="48"/>
      <c r="EN33" s="69" t="n">
        <f aca="false">SUM(EN34:EN41)*EK33</f>
        <v>0.25</v>
      </c>
      <c r="EO33" s="70" t="n">
        <f aca="false">IF(SUM(EN34:EN41)=0,EK33,0)</f>
        <v>0</v>
      </c>
      <c r="EP33" s="87"/>
      <c r="EQ33" s="67"/>
      <c r="ER33" s="67"/>
      <c r="ES33" s="67"/>
      <c r="ET33" s="59"/>
      <c r="EU33" s="68" t="n">
        <v>0.25</v>
      </c>
      <c r="EV33" s="35" t="n">
        <f aca="false">SUM(EV34:EV41)</f>
        <v>0</v>
      </c>
      <c r="EW33" s="48"/>
      <c r="EX33" s="69" t="n">
        <f aca="false">SUM(EX34:EX41)*EU33</f>
        <v>0.25</v>
      </c>
      <c r="EY33" s="70" t="n">
        <f aca="false">IF(SUM(EX34:EX41)=0,EU33,0)</f>
        <v>0</v>
      </c>
      <c r="EZ33" s="87"/>
      <c r="FA33" s="67"/>
      <c r="FB33" s="67"/>
      <c r="FC33" s="67"/>
      <c r="FD33" s="59"/>
      <c r="FE33" s="68" t="n">
        <v>0.25</v>
      </c>
      <c r="FF33" s="35" t="n">
        <f aca="false">SUM(FF34:FF41)</f>
        <v>0</v>
      </c>
      <c r="FG33" s="48"/>
      <c r="FH33" s="69" t="n">
        <f aca="false">SUM(FH34:FH41)*FE33</f>
        <v>0.25</v>
      </c>
      <c r="FI33" s="70" t="n">
        <f aca="false">IF(SUM(FH34:FH41)=0,FE33,0)</f>
        <v>0</v>
      </c>
      <c r="FJ33" s="87"/>
      <c r="FK33" s="67"/>
      <c r="FL33" s="67"/>
      <c r="FM33" s="67"/>
      <c r="FN33" s="59"/>
      <c r="FO33" s="68" t="n">
        <v>0.25</v>
      </c>
      <c r="FP33" s="35" t="n">
        <f aca="false">SUM(FP34:FP41)</f>
        <v>0</v>
      </c>
      <c r="FQ33" s="48"/>
      <c r="FR33" s="69" t="n">
        <f aca="false">SUM(FR34:FR41)*FO33</f>
        <v>0.25</v>
      </c>
      <c r="FS33" s="70" t="n">
        <f aca="false">IF(SUM(FR34:FR41)=0,FO33,0)</f>
        <v>0</v>
      </c>
      <c r="FT33" s="87"/>
      <c r="FU33" s="67"/>
      <c r="FV33" s="67"/>
      <c r="FW33" s="67"/>
      <c r="FX33" s="59"/>
      <c r="FY33" s="68" t="n">
        <v>0.25</v>
      </c>
      <c r="FZ33" s="35" t="n">
        <f aca="false">SUM(FZ34:FZ41)</f>
        <v>0</v>
      </c>
      <c r="GA33" s="48"/>
      <c r="GB33" s="69" t="n">
        <f aca="false">SUM(GB34:GB41)*FY33</f>
        <v>0.25</v>
      </c>
      <c r="GC33" s="70" t="n">
        <f aca="false">IF(SUM(GB34:GB41)=0,FY33,0)</f>
        <v>0</v>
      </c>
      <c r="GD33" s="87"/>
      <c r="GE33" s="67"/>
      <c r="GF33" s="67"/>
      <c r="GG33" s="67"/>
      <c r="GH33" s="59"/>
      <c r="GI33" s="68" t="n">
        <v>0.25</v>
      </c>
      <c r="GJ33" s="35" t="n">
        <f aca="false">SUM(GJ34:GJ41)</f>
        <v>0</v>
      </c>
      <c r="GK33" s="48"/>
      <c r="GL33" s="69" t="n">
        <f aca="false">SUM(GL34:GL41)*GI33</f>
        <v>0.25</v>
      </c>
      <c r="GM33" s="70" t="n">
        <f aca="false">IF(SUM(GL34:GL41)=0,GI33,0)</f>
        <v>0</v>
      </c>
      <c r="GN33" s="87"/>
      <c r="GO33" s="67"/>
      <c r="GP33" s="67"/>
      <c r="GQ33" s="67"/>
      <c r="GR33" s="59"/>
      <c r="GS33" s="68" t="n">
        <v>0.25</v>
      </c>
      <c r="GT33" s="35" t="n">
        <f aca="false">SUM(GT34:GT41)</f>
        <v>0</v>
      </c>
      <c r="GU33" s="48"/>
      <c r="GV33" s="69" t="n">
        <f aca="false">SUM(GV34:GV41)*GS33</f>
        <v>0.25</v>
      </c>
      <c r="GW33" s="70" t="n">
        <f aca="false">IF(SUM(GV34:GV41)=0,GS33,0)</f>
        <v>0</v>
      </c>
      <c r="GX33" s="87"/>
      <c r="GY33" s="67"/>
      <c r="GZ33" s="67"/>
      <c r="HA33" s="67"/>
      <c r="HB33" s="59"/>
      <c r="HC33" s="68" t="n">
        <v>0.25</v>
      </c>
      <c r="HD33" s="35" t="n">
        <f aca="false">SUM(HD34:HD41)</f>
        <v>0</v>
      </c>
      <c r="HE33" s="48"/>
      <c r="HF33" s="69" t="n">
        <f aca="false">SUM(HF34:HF41)*HC33</f>
        <v>0.25</v>
      </c>
      <c r="HG33" s="70" t="n">
        <f aca="false">IF(SUM(HF34:HF41)=0,HC33,0)</f>
        <v>0</v>
      </c>
      <c r="HH33" s="87"/>
      <c r="HI33" s="67"/>
      <c r="HJ33" s="67"/>
      <c r="HK33" s="67"/>
      <c r="HL33" s="59"/>
      <c r="HM33" s="68" t="n">
        <v>0.25</v>
      </c>
      <c r="HN33" s="35" t="n">
        <f aca="false">SUM(HN34:HN41)</f>
        <v>0</v>
      </c>
      <c r="HO33" s="48"/>
      <c r="HP33" s="69" t="n">
        <f aca="false">SUM(HP34:HP41)*HM33</f>
        <v>0.25</v>
      </c>
      <c r="HQ33" s="70" t="n">
        <f aca="false">IF(SUM(HP34:HP41)=0,HM33,0)</f>
        <v>0</v>
      </c>
      <c r="HR33" s="87"/>
      <c r="HS33" s="67"/>
      <c r="HT33" s="67"/>
      <c r="HU33" s="67"/>
      <c r="HV33" s="59"/>
      <c r="HW33" s="68" t="n">
        <v>0.25</v>
      </c>
      <c r="HX33" s="35" t="n">
        <f aca="false">SUM(HX34:HX41)</f>
        <v>0</v>
      </c>
      <c r="HY33" s="48"/>
      <c r="HZ33" s="69" t="n">
        <f aca="false">SUM(HZ34:HZ41)*HW33</f>
        <v>0.25</v>
      </c>
      <c r="IA33" s="70" t="n">
        <f aca="false">IF(SUM(HZ34:HZ41)=0,HW33,0)</f>
        <v>0</v>
      </c>
      <c r="IB33" s="87"/>
      <c r="IC33" s="67"/>
      <c r="ID33" s="67"/>
      <c r="IE33" s="67"/>
      <c r="IF33" s="59"/>
      <c r="IG33" s="68" t="n">
        <v>0.25</v>
      </c>
      <c r="IH33" s="35" t="n">
        <f aca="false">SUM(IH34:IH41)</f>
        <v>0</v>
      </c>
      <c r="II33" s="48"/>
      <c r="IJ33" s="69" t="n">
        <f aca="false">SUM(IJ34:IJ41)*IG33</f>
        <v>0.25</v>
      </c>
      <c r="IK33" s="70" t="n">
        <f aca="false">IF(SUM(IJ34:IJ41)=0,IG33,0)</f>
        <v>0</v>
      </c>
    </row>
    <row r="34" customFormat="false" ht="94.5" hidden="false" customHeight="true" outlineLevel="0" collapsed="false">
      <c r="A34" s="83"/>
      <c r="B34" s="81"/>
      <c r="C34" s="85"/>
      <c r="D34" s="52" t="s">
        <v>83</v>
      </c>
      <c r="E34" s="53" t="s">
        <v>84</v>
      </c>
      <c r="F34" s="88"/>
      <c r="G34" s="62"/>
      <c r="H34" s="62"/>
      <c r="I34" s="62"/>
      <c r="J34" s="45" t="str">
        <f aca="false">(IF(M34="","◄",""))</f>
        <v>◄</v>
      </c>
      <c r="K34" s="72" t="n">
        <v>0.25</v>
      </c>
      <c r="L34" s="73" t="n">
        <f aca="false">(IF(H34&lt;&gt;"",1/2,0)+IF(I34&lt;&gt;"",1,0))*K34*K$33*20</f>
        <v>0</v>
      </c>
      <c r="M34" s="48" t="str">
        <f aca="false">IF(COUNTBLANK(F34:I34)=3,1,"")</f>
        <v/>
      </c>
      <c r="N34" s="74" t="n">
        <f aca="false">IF(F34="",K34,0)</f>
        <v>0.25</v>
      </c>
      <c r="O34" s="79" t="n">
        <f aca="false">IF(N34=0,0,K34/SUM(N$34:N$41))</f>
        <v>0.25</v>
      </c>
      <c r="P34" s="88"/>
      <c r="Q34" s="62"/>
      <c r="R34" s="62"/>
      <c r="S34" s="62"/>
      <c r="T34" s="45" t="str">
        <f aca="false">(IF(W34="","◄",""))</f>
        <v>◄</v>
      </c>
      <c r="U34" s="72" t="n">
        <v>0.25</v>
      </c>
      <c r="V34" s="73" t="n">
        <f aca="false">(IF(R34&lt;&gt;"",1/2,0)+IF(S34&lt;&gt;"",1,0))*U34*U$33*20</f>
        <v>0</v>
      </c>
      <c r="W34" s="48" t="str">
        <f aca="false">IF(COUNTBLANK(P34:S34)=3,1,"")</f>
        <v/>
      </c>
      <c r="X34" s="74" t="n">
        <f aca="false">IF(P34="",U34,0)</f>
        <v>0.25</v>
      </c>
      <c r="Y34" s="79" t="n">
        <f aca="false">IF(X34=0,0,U34/SUM(X$34:X$41))</f>
        <v>0.25</v>
      </c>
      <c r="Z34" s="88"/>
      <c r="AA34" s="62"/>
      <c r="AB34" s="62"/>
      <c r="AC34" s="62"/>
      <c r="AD34" s="45" t="str">
        <f aca="false">(IF(AG34="","◄",""))</f>
        <v>◄</v>
      </c>
      <c r="AE34" s="72" t="n">
        <v>0.25</v>
      </c>
      <c r="AF34" s="73" t="n">
        <f aca="false">(IF(AB34&lt;&gt;"",1/2,0)+IF(AC34&lt;&gt;"",1,0))*AE34*AE$33*20</f>
        <v>0</v>
      </c>
      <c r="AG34" s="48" t="str">
        <f aca="false">IF(COUNTBLANK(Z34:AC34)=3,1,"")</f>
        <v/>
      </c>
      <c r="AH34" s="74" t="n">
        <f aca="false">IF(Z34="",AE34,0)</f>
        <v>0.25</v>
      </c>
      <c r="AI34" s="79" t="n">
        <f aca="false">IF(AH34=0,0,AE34/SUM(AH$34:AH$41))</f>
        <v>0.25</v>
      </c>
      <c r="AJ34" s="88"/>
      <c r="AK34" s="62"/>
      <c r="AL34" s="62"/>
      <c r="AM34" s="62"/>
      <c r="AN34" s="45" t="str">
        <f aca="false">(IF(AQ34="","◄",""))</f>
        <v>◄</v>
      </c>
      <c r="AO34" s="72" t="n">
        <v>0.25</v>
      </c>
      <c r="AP34" s="73" t="n">
        <f aca="false">(IF(AL34&lt;&gt;"",1/2,0)+IF(AM34&lt;&gt;"",1,0))*AO34*AO$33*20</f>
        <v>0</v>
      </c>
      <c r="AQ34" s="48" t="str">
        <f aca="false">IF(COUNTBLANK(AJ34:AM34)=3,1,"")</f>
        <v/>
      </c>
      <c r="AR34" s="74" t="n">
        <f aca="false">IF(AJ34="",AO34,0)</f>
        <v>0.25</v>
      </c>
      <c r="AS34" s="79" t="n">
        <f aca="false">IF(AR34=0,0,AO34/SUM(AR$34:AR$41))</f>
        <v>0.25</v>
      </c>
      <c r="AT34" s="88"/>
      <c r="AU34" s="62"/>
      <c r="AV34" s="62"/>
      <c r="AW34" s="62"/>
      <c r="AX34" s="45" t="str">
        <f aca="false">(IF(BA34="","◄",""))</f>
        <v>◄</v>
      </c>
      <c r="AY34" s="72" t="n">
        <v>0.25</v>
      </c>
      <c r="AZ34" s="73" t="n">
        <f aca="false">(IF(AV34&lt;&gt;"",1/2,0)+IF(AW34&lt;&gt;"",1,0))*AY34*AY$33*20</f>
        <v>0</v>
      </c>
      <c r="BA34" s="48" t="str">
        <f aca="false">IF(COUNTBLANK(AT34:AW34)=3,1,"")</f>
        <v/>
      </c>
      <c r="BB34" s="74" t="n">
        <f aca="false">IF(AT34="",AY34,0)</f>
        <v>0.25</v>
      </c>
      <c r="BC34" s="79" t="n">
        <f aca="false">IF(BB34=0,0,AY34/SUM(BB$34:BB$41))</f>
        <v>0.25</v>
      </c>
      <c r="BD34" s="88"/>
      <c r="BE34" s="62"/>
      <c r="BF34" s="62"/>
      <c r="BG34" s="62"/>
      <c r="BH34" s="45" t="str">
        <f aca="false">(IF(BK34="","◄",""))</f>
        <v>◄</v>
      </c>
      <c r="BI34" s="72" t="n">
        <v>0.25</v>
      </c>
      <c r="BJ34" s="73" t="n">
        <f aca="false">(IF(BF34&lt;&gt;"",1/2,0)+IF(BG34&lt;&gt;"",1,0))*BI34*BI$33*20</f>
        <v>0</v>
      </c>
      <c r="BK34" s="48" t="str">
        <f aca="false">IF(COUNTBLANK(BD34:BG34)=3,1,"")</f>
        <v/>
      </c>
      <c r="BL34" s="74" t="n">
        <f aca="false">IF(BD34="",BI34,0)</f>
        <v>0.25</v>
      </c>
      <c r="BM34" s="79" t="n">
        <f aca="false">IF(BL34=0,0,BI34/SUM(BL$34:BL$41))</f>
        <v>0.25</v>
      </c>
      <c r="BN34" s="88"/>
      <c r="BO34" s="62"/>
      <c r="BP34" s="62"/>
      <c r="BQ34" s="62"/>
      <c r="BR34" s="45" t="str">
        <f aca="false">(IF(BU34="","◄",""))</f>
        <v>◄</v>
      </c>
      <c r="BS34" s="72" t="n">
        <v>0.25</v>
      </c>
      <c r="BT34" s="73" t="n">
        <f aca="false">(IF(BP34&lt;&gt;"",1/2,0)+IF(BQ34&lt;&gt;"",1,0))*BS34*BS$33*20</f>
        <v>0</v>
      </c>
      <c r="BU34" s="48" t="str">
        <f aca="false">IF(COUNTBLANK(BN34:BQ34)=3,1,"")</f>
        <v/>
      </c>
      <c r="BV34" s="74" t="n">
        <f aca="false">IF(BN34="",BS34,0)</f>
        <v>0.25</v>
      </c>
      <c r="BW34" s="79" t="n">
        <f aca="false">IF(BV34=0,0,BS34/SUM(BV$34:BV$41))</f>
        <v>0.25</v>
      </c>
      <c r="BX34" s="88"/>
      <c r="BY34" s="62"/>
      <c r="BZ34" s="62"/>
      <c r="CA34" s="62"/>
      <c r="CB34" s="45" t="str">
        <f aca="false">(IF(CE34="","◄",""))</f>
        <v>◄</v>
      </c>
      <c r="CC34" s="72" t="n">
        <v>0.25</v>
      </c>
      <c r="CD34" s="73" t="n">
        <f aca="false">(IF(BZ34&lt;&gt;"",1/2,0)+IF(CA34&lt;&gt;"",1,0))*CC34*CC$33*20</f>
        <v>0</v>
      </c>
      <c r="CE34" s="48" t="str">
        <f aca="false">IF(COUNTBLANK(BX34:CA34)=3,1,"")</f>
        <v/>
      </c>
      <c r="CF34" s="74" t="n">
        <f aca="false">IF(BX34="",CC34,0)</f>
        <v>0.25</v>
      </c>
      <c r="CG34" s="79" t="n">
        <f aca="false">IF(CF34=0,0,CC34/SUM(CF$34:CF$41))</f>
        <v>0.25</v>
      </c>
      <c r="CH34" s="88"/>
      <c r="CI34" s="62"/>
      <c r="CJ34" s="62"/>
      <c r="CK34" s="62"/>
      <c r="CL34" s="45" t="str">
        <f aca="false">(IF(CO34="","◄",""))</f>
        <v>◄</v>
      </c>
      <c r="CM34" s="72" t="n">
        <v>0.25</v>
      </c>
      <c r="CN34" s="73" t="n">
        <f aca="false">(IF(CJ34&lt;&gt;"",1/2,0)+IF(CK34&lt;&gt;"",1,0))*CM34*CM$33*20</f>
        <v>0</v>
      </c>
      <c r="CO34" s="48" t="str">
        <f aca="false">IF(COUNTBLANK(CH34:CK34)=3,1,"")</f>
        <v/>
      </c>
      <c r="CP34" s="74" t="n">
        <f aca="false">IF(CH34="",CM34,0)</f>
        <v>0.25</v>
      </c>
      <c r="CQ34" s="79" t="n">
        <f aca="false">IF(CP34=0,0,CM34/SUM(CP$34:CP$41))</f>
        <v>0.25</v>
      </c>
      <c r="CR34" s="88"/>
      <c r="CS34" s="62"/>
      <c r="CT34" s="62"/>
      <c r="CU34" s="62"/>
      <c r="CV34" s="45" t="str">
        <f aca="false">(IF(CY34="","◄",""))</f>
        <v>◄</v>
      </c>
      <c r="CW34" s="72" t="n">
        <v>0.25</v>
      </c>
      <c r="CX34" s="73" t="n">
        <f aca="false">(IF(CT34&lt;&gt;"",1/2,0)+IF(CU34&lt;&gt;"",1,0))*CW34*CW$33*20</f>
        <v>0</v>
      </c>
      <c r="CY34" s="48" t="str">
        <f aca="false">IF(COUNTBLANK(CR34:CU34)=3,1,"")</f>
        <v/>
      </c>
      <c r="CZ34" s="74" t="n">
        <f aca="false">IF(CR34="",CW34,0)</f>
        <v>0.25</v>
      </c>
      <c r="DA34" s="79" t="n">
        <f aca="false">IF(CZ34=0,0,CW34/SUM(CZ$34:CZ$41))</f>
        <v>0.25</v>
      </c>
      <c r="DB34" s="88"/>
      <c r="DC34" s="62"/>
      <c r="DD34" s="62"/>
      <c r="DE34" s="62"/>
      <c r="DF34" s="45" t="str">
        <f aca="false">(IF(DI34="","◄",""))</f>
        <v>◄</v>
      </c>
      <c r="DG34" s="72" t="n">
        <v>0.25</v>
      </c>
      <c r="DH34" s="73" t="n">
        <f aca="false">(IF(DD34&lt;&gt;"",1/2,0)+IF(DE34&lt;&gt;"",1,0))*DG34*DG$33*20</f>
        <v>0</v>
      </c>
      <c r="DI34" s="48" t="str">
        <f aca="false">IF(COUNTBLANK(DB34:DE34)=3,1,"")</f>
        <v/>
      </c>
      <c r="DJ34" s="74" t="n">
        <f aca="false">IF(DB34="",DG34,0)</f>
        <v>0.25</v>
      </c>
      <c r="DK34" s="79" t="n">
        <f aca="false">IF(DJ34=0,0,DG34/SUM(DJ$34:DJ$41))</f>
        <v>0.25</v>
      </c>
      <c r="DL34" s="88"/>
      <c r="DM34" s="62"/>
      <c r="DN34" s="62"/>
      <c r="DO34" s="62"/>
      <c r="DP34" s="45" t="str">
        <f aca="false">(IF(DS34="","◄",""))</f>
        <v>◄</v>
      </c>
      <c r="DQ34" s="72" t="n">
        <v>0.25</v>
      </c>
      <c r="DR34" s="73" t="n">
        <f aca="false">(IF(DN34&lt;&gt;"",1/2,0)+IF(DO34&lt;&gt;"",1,0))*DQ34*DQ$33*20</f>
        <v>0</v>
      </c>
      <c r="DS34" s="48" t="str">
        <f aca="false">IF(COUNTBLANK(DL34:DO34)=3,1,"")</f>
        <v/>
      </c>
      <c r="DT34" s="74" t="n">
        <f aca="false">IF(DL34="",DQ34,0)</f>
        <v>0.25</v>
      </c>
      <c r="DU34" s="79" t="n">
        <f aca="false">IF(DT34=0,0,DQ34/SUM(DT$34:DT$41))</f>
        <v>0.25</v>
      </c>
      <c r="DV34" s="88"/>
      <c r="DW34" s="62"/>
      <c r="DX34" s="62"/>
      <c r="DY34" s="62"/>
      <c r="DZ34" s="45" t="str">
        <f aca="false">(IF(EC34="","◄",""))</f>
        <v>◄</v>
      </c>
      <c r="EA34" s="72" t="n">
        <v>0.25</v>
      </c>
      <c r="EB34" s="73" t="n">
        <f aca="false">(IF(DX34&lt;&gt;"",1/2,0)+IF(DY34&lt;&gt;"",1,0))*EA34*EA$33*20</f>
        <v>0</v>
      </c>
      <c r="EC34" s="48" t="str">
        <f aca="false">IF(COUNTBLANK(DV34:DY34)=3,1,"")</f>
        <v/>
      </c>
      <c r="ED34" s="74" t="n">
        <f aca="false">IF(DV34="",EA34,0)</f>
        <v>0.25</v>
      </c>
      <c r="EE34" s="79" t="n">
        <f aca="false">IF(ED34=0,0,EA34/SUM(ED$34:ED$41))</f>
        <v>0.25</v>
      </c>
      <c r="EF34" s="88"/>
      <c r="EG34" s="62"/>
      <c r="EH34" s="62"/>
      <c r="EI34" s="62"/>
      <c r="EJ34" s="45" t="str">
        <f aca="false">(IF(EM34="","◄",""))</f>
        <v>◄</v>
      </c>
      <c r="EK34" s="72" t="n">
        <v>0.25</v>
      </c>
      <c r="EL34" s="73" t="n">
        <f aca="false">(IF(EH34&lt;&gt;"",1/2,0)+IF(EI34&lt;&gt;"",1,0))*EK34*EK$33*20</f>
        <v>0</v>
      </c>
      <c r="EM34" s="48" t="str">
        <f aca="false">IF(COUNTBLANK(EF34:EI34)=3,1,"")</f>
        <v/>
      </c>
      <c r="EN34" s="74" t="n">
        <f aca="false">IF(EF34="",EK34,0)</f>
        <v>0.25</v>
      </c>
      <c r="EO34" s="79" t="n">
        <f aca="false">IF(EN34=0,0,EK34/SUM(EN$34:EN$41))</f>
        <v>0.25</v>
      </c>
      <c r="EP34" s="88"/>
      <c r="EQ34" s="62"/>
      <c r="ER34" s="62"/>
      <c r="ES34" s="62"/>
      <c r="ET34" s="45" t="str">
        <f aca="false">(IF(EW34="","◄",""))</f>
        <v>◄</v>
      </c>
      <c r="EU34" s="72" t="n">
        <v>0.25</v>
      </c>
      <c r="EV34" s="73" t="n">
        <f aca="false">(IF(ER34&lt;&gt;"",1/2,0)+IF(ES34&lt;&gt;"",1,0))*EU34*EU$33*20</f>
        <v>0</v>
      </c>
      <c r="EW34" s="48" t="str">
        <f aca="false">IF(COUNTBLANK(EP34:ES34)=3,1,"")</f>
        <v/>
      </c>
      <c r="EX34" s="74" t="n">
        <f aca="false">IF(EP34="",EU34,0)</f>
        <v>0.25</v>
      </c>
      <c r="EY34" s="79" t="n">
        <f aca="false">IF(EX34=0,0,EU34/SUM(EX$34:EX$41))</f>
        <v>0.25</v>
      </c>
      <c r="EZ34" s="88"/>
      <c r="FA34" s="62"/>
      <c r="FB34" s="62"/>
      <c r="FC34" s="62"/>
      <c r="FD34" s="45" t="str">
        <f aca="false">(IF(FG34="","◄",""))</f>
        <v>◄</v>
      </c>
      <c r="FE34" s="72" t="n">
        <v>0.25</v>
      </c>
      <c r="FF34" s="73" t="n">
        <f aca="false">(IF(FB34&lt;&gt;"",1/2,0)+IF(FC34&lt;&gt;"",1,0))*FE34*FE$33*20</f>
        <v>0</v>
      </c>
      <c r="FG34" s="48" t="str">
        <f aca="false">IF(COUNTBLANK(EZ34:FC34)=3,1,"")</f>
        <v/>
      </c>
      <c r="FH34" s="74" t="n">
        <f aca="false">IF(EZ34="",FE34,0)</f>
        <v>0.25</v>
      </c>
      <c r="FI34" s="79" t="n">
        <f aca="false">IF(FH34=0,0,FE34/SUM(FH$34:FH$41))</f>
        <v>0.25</v>
      </c>
      <c r="FJ34" s="88"/>
      <c r="FK34" s="62"/>
      <c r="FL34" s="62"/>
      <c r="FM34" s="62"/>
      <c r="FN34" s="45" t="str">
        <f aca="false">(IF(FQ34="","◄",""))</f>
        <v>◄</v>
      </c>
      <c r="FO34" s="72" t="n">
        <v>0.25</v>
      </c>
      <c r="FP34" s="73" t="n">
        <f aca="false">(IF(FL34&lt;&gt;"",1/2,0)+IF(FM34&lt;&gt;"",1,0))*FO34*FO$33*20</f>
        <v>0</v>
      </c>
      <c r="FQ34" s="48" t="str">
        <f aca="false">IF(COUNTBLANK(FJ34:FM34)=3,1,"")</f>
        <v/>
      </c>
      <c r="FR34" s="74" t="n">
        <f aca="false">IF(FJ34="",FO34,0)</f>
        <v>0.25</v>
      </c>
      <c r="FS34" s="79" t="n">
        <f aca="false">IF(FR34=0,0,FO34/SUM(FR$34:FR$41))</f>
        <v>0.25</v>
      </c>
      <c r="FT34" s="88"/>
      <c r="FU34" s="62"/>
      <c r="FV34" s="62"/>
      <c r="FW34" s="62"/>
      <c r="FX34" s="45" t="str">
        <f aca="false">(IF(GA34="","◄",""))</f>
        <v>◄</v>
      </c>
      <c r="FY34" s="72" t="n">
        <v>0.25</v>
      </c>
      <c r="FZ34" s="73" t="n">
        <f aca="false">(IF(FV34&lt;&gt;"",1/2,0)+IF(FW34&lt;&gt;"",1,0))*FY34*FY$33*20</f>
        <v>0</v>
      </c>
      <c r="GA34" s="48" t="str">
        <f aca="false">IF(COUNTBLANK(FT34:FW34)=3,1,"")</f>
        <v/>
      </c>
      <c r="GB34" s="74" t="n">
        <f aca="false">IF(FT34="",FY34,0)</f>
        <v>0.25</v>
      </c>
      <c r="GC34" s="79" t="n">
        <f aca="false">IF(GB34=0,0,FY34/SUM(GB$34:GB$41))</f>
        <v>0.25</v>
      </c>
      <c r="GD34" s="88"/>
      <c r="GE34" s="62"/>
      <c r="GF34" s="62"/>
      <c r="GG34" s="62"/>
      <c r="GH34" s="45" t="str">
        <f aca="false">(IF(GK34="","◄",""))</f>
        <v>◄</v>
      </c>
      <c r="GI34" s="72" t="n">
        <v>0.25</v>
      </c>
      <c r="GJ34" s="73" t="n">
        <f aca="false">(IF(GF34&lt;&gt;"",1/2,0)+IF(GG34&lt;&gt;"",1,0))*GI34*GI$33*20</f>
        <v>0</v>
      </c>
      <c r="GK34" s="48" t="str">
        <f aca="false">IF(COUNTBLANK(GD34:GG34)=3,1,"")</f>
        <v/>
      </c>
      <c r="GL34" s="74" t="n">
        <f aca="false">IF(GD34="",GI34,0)</f>
        <v>0.25</v>
      </c>
      <c r="GM34" s="79" t="n">
        <f aca="false">IF(GL34=0,0,GI34/SUM(GL$34:GL$41))</f>
        <v>0.25</v>
      </c>
      <c r="GN34" s="88"/>
      <c r="GO34" s="62"/>
      <c r="GP34" s="62"/>
      <c r="GQ34" s="62"/>
      <c r="GR34" s="45" t="str">
        <f aca="false">(IF(GU34="","◄",""))</f>
        <v>◄</v>
      </c>
      <c r="GS34" s="72" t="n">
        <v>0.25</v>
      </c>
      <c r="GT34" s="73" t="n">
        <f aca="false">(IF(GP34&lt;&gt;"",1/2,0)+IF(GQ34&lt;&gt;"",1,0))*GS34*GS$33*20</f>
        <v>0</v>
      </c>
      <c r="GU34" s="48" t="str">
        <f aca="false">IF(COUNTBLANK(GN34:GQ34)=3,1,"")</f>
        <v/>
      </c>
      <c r="GV34" s="74" t="n">
        <f aca="false">IF(GN34="",GS34,0)</f>
        <v>0.25</v>
      </c>
      <c r="GW34" s="79" t="n">
        <f aca="false">IF(GV34=0,0,GS34/SUM(GV$34:GV$41))</f>
        <v>0.25</v>
      </c>
      <c r="GX34" s="88"/>
      <c r="GY34" s="62"/>
      <c r="GZ34" s="62"/>
      <c r="HA34" s="62"/>
      <c r="HB34" s="45" t="str">
        <f aca="false">(IF(HE34="","◄",""))</f>
        <v>◄</v>
      </c>
      <c r="HC34" s="72" t="n">
        <v>0.25</v>
      </c>
      <c r="HD34" s="73" t="n">
        <f aca="false">(IF(GZ34&lt;&gt;"",1/2,0)+IF(HA34&lt;&gt;"",1,0))*HC34*HC$33*20</f>
        <v>0</v>
      </c>
      <c r="HE34" s="48" t="str">
        <f aca="false">IF(COUNTBLANK(GX34:HA34)=3,1,"")</f>
        <v/>
      </c>
      <c r="HF34" s="74" t="n">
        <f aca="false">IF(GX34="",HC34,0)</f>
        <v>0.25</v>
      </c>
      <c r="HG34" s="79" t="n">
        <f aca="false">IF(HF34=0,0,HC34/SUM(HF$34:HF$41))</f>
        <v>0.25</v>
      </c>
      <c r="HH34" s="88"/>
      <c r="HI34" s="62"/>
      <c r="HJ34" s="62"/>
      <c r="HK34" s="62"/>
      <c r="HL34" s="45" t="str">
        <f aca="false">(IF(HO34="","◄",""))</f>
        <v>◄</v>
      </c>
      <c r="HM34" s="72" t="n">
        <v>0.25</v>
      </c>
      <c r="HN34" s="73" t="n">
        <f aca="false">(IF(HJ34&lt;&gt;"",1/2,0)+IF(HK34&lt;&gt;"",1,0))*HM34*HM$33*20</f>
        <v>0</v>
      </c>
      <c r="HO34" s="48" t="str">
        <f aca="false">IF(COUNTBLANK(HH34:HK34)=3,1,"")</f>
        <v/>
      </c>
      <c r="HP34" s="74" t="n">
        <f aca="false">IF(HH34="",HM34,0)</f>
        <v>0.25</v>
      </c>
      <c r="HQ34" s="79" t="n">
        <f aca="false">IF(HP34=0,0,HM34/SUM(HP$34:HP$41))</f>
        <v>0.25</v>
      </c>
      <c r="HR34" s="88"/>
      <c r="HS34" s="62"/>
      <c r="HT34" s="62"/>
      <c r="HU34" s="62"/>
      <c r="HV34" s="45" t="str">
        <f aca="false">(IF(HY34="","◄",""))</f>
        <v>◄</v>
      </c>
      <c r="HW34" s="72" t="n">
        <v>0.25</v>
      </c>
      <c r="HX34" s="73" t="n">
        <f aca="false">(IF(HT34&lt;&gt;"",1/2,0)+IF(HU34&lt;&gt;"",1,0))*HW34*HW$33*20</f>
        <v>0</v>
      </c>
      <c r="HY34" s="48" t="str">
        <f aca="false">IF(COUNTBLANK(HR34:HU34)=3,1,"")</f>
        <v/>
      </c>
      <c r="HZ34" s="74" t="n">
        <f aca="false">IF(HR34="",HW34,0)</f>
        <v>0.25</v>
      </c>
      <c r="IA34" s="79" t="n">
        <f aca="false">IF(HZ34=0,0,HW34/SUM(HZ$34:HZ$41))</f>
        <v>0.25</v>
      </c>
      <c r="IB34" s="88"/>
      <c r="IC34" s="62"/>
      <c r="ID34" s="62"/>
      <c r="IE34" s="62"/>
      <c r="IF34" s="45" t="str">
        <f aca="false">(IF(II34="","◄",""))</f>
        <v>◄</v>
      </c>
      <c r="IG34" s="72" t="n">
        <v>0.25</v>
      </c>
      <c r="IH34" s="73" t="n">
        <f aca="false">(IF(ID34&lt;&gt;"",1/2,0)+IF(IE34&lt;&gt;"",1,0))*IG34*IG$33*20</f>
        <v>0</v>
      </c>
      <c r="II34" s="48" t="str">
        <f aca="false">IF(COUNTBLANK(IB34:IE34)=3,1,"")</f>
        <v/>
      </c>
      <c r="IJ34" s="74" t="n">
        <f aca="false">IF(IB34="",IG34,0)</f>
        <v>0.25</v>
      </c>
      <c r="IK34" s="79" t="n">
        <f aca="false">IF(IJ34=0,0,IG34/SUM(IJ$34:IJ$41))</f>
        <v>0.25</v>
      </c>
    </row>
    <row r="35" customFormat="false" ht="49.5" hidden="false" customHeight="true" outlineLevel="0" collapsed="false">
      <c r="A35" s="83"/>
      <c r="B35" s="81"/>
      <c r="C35" s="85"/>
      <c r="D35" s="52" t="s">
        <v>85</v>
      </c>
      <c r="E35" s="53" t="s">
        <v>86</v>
      </c>
      <c r="F35" s="88"/>
      <c r="G35" s="62"/>
      <c r="H35" s="62"/>
      <c r="I35" s="62"/>
      <c r="J35" s="45" t="str">
        <f aca="false">(IF(M35="","◄",""))</f>
        <v>◄</v>
      </c>
      <c r="K35" s="72" t="n">
        <v>0.2</v>
      </c>
      <c r="L35" s="73" t="n">
        <f aca="false">(IF(H35&lt;&gt;"",1/2,0)+IF(I35&lt;&gt;"",1,0))*K35*K$33*20</f>
        <v>0</v>
      </c>
      <c r="M35" s="48" t="str">
        <f aca="false">IF(COUNTBLANK(F35:I35)=3,1,"")</f>
        <v/>
      </c>
      <c r="N35" s="74" t="n">
        <f aca="false">IF(F35="",K35,0)</f>
        <v>0.2</v>
      </c>
      <c r="O35" s="79" t="n">
        <f aca="false">IF(N35=0,0,K35/SUM(N$34:N$41))</f>
        <v>0.2</v>
      </c>
      <c r="P35" s="88"/>
      <c r="Q35" s="62"/>
      <c r="R35" s="62"/>
      <c r="S35" s="62"/>
      <c r="T35" s="45" t="str">
        <f aca="false">(IF(W35="","◄",""))</f>
        <v>◄</v>
      </c>
      <c r="U35" s="72" t="n">
        <v>0.2</v>
      </c>
      <c r="V35" s="73" t="n">
        <f aca="false">(IF(R35&lt;&gt;"",1/2,0)+IF(S35&lt;&gt;"",1,0))*U35*U$33*20</f>
        <v>0</v>
      </c>
      <c r="W35" s="48" t="str">
        <f aca="false">IF(COUNTBLANK(P35:S35)=3,1,"")</f>
        <v/>
      </c>
      <c r="X35" s="74" t="n">
        <f aca="false">IF(P35="",U35,0)</f>
        <v>0.2</v>
      </c>
      <c r="Y35" s="79" t="n">
        <f aca="false">IF(X35=0,0,U35/SUM(X$34:X$41))</f>
        <v>0.2</v>
      </c>
      <c r="Z35" s="88"/>
      <c r="AA35" s="62"/>
      <c r="AB35" s="62"/>
      <c r="AC35" s="62"/>
      <c r="AD35" s="45" t="str">
        <f aca="false">(IF(AG35="","◄",""))</f>
        <v>◄</v>
      </c>
      <c r="AE35" s="72" t="n">
        <v>0.2</v>
      </c>
      <c r="AF35" s="73" t="n">
        <f aca="false">(IF(AB35&lt;&gt;"",1/2,0)+IF(AC35&lt;&gt;"",1,0))*AE35*AE$33*20</f>
        <v>0</v>
      </c>
      <c r="AG35" s="48" t="str">
        <f aca="false">IF(COUNTBLANK(Z35:AC35)=3,1,"")</f>
        <v/>
      </c>
      <c r="AH35" s="74" t="n">
        <f aca="false">IF(Z35="",AE35,0)</f>
        <v>0.2</v>
      </c>
      <c r="AI35" s="79" t="n">
        <f aca="false">IF(AH35=0,0,AE35/SUM(AH$34:AH$41))</f>
        <v>0.2</v>
      </c>
      <c r="AJ35" s="88"/>
      <c r="AK35" s="62"/>
      <c r="AL35" s="62"/>
      <c r="AM35" s="62"/>
      <c r="AN35" s="45" t="str">
        <f aca="false">(IF(AQ35="","◄",""))</f>
        <v>◄</v>
      </c>
      <c r="AO35" s="72" t="n">
        <v>0.2</v>
      </c>
      <c r="AP35" s="73" t="n">
        <f aca="false">(IF(AL35&lt;&gt;"",1/2,0)+IF(AM35&lt;&gt;"",1,0))*AO35*AO$33*20</f>
        <v>0</v>
      </c>
      <c r="AQ35" s="48" t="str">
        <f aca="false">IF(COUNTBLANK(AJ35:AM35)=3,1,"")</f>
        <v/>
      </c>
      <c r="AR35" s="74" t="n">
        <f aca="false">IF(AJ35="",AO35,0)</f>
        <v>0.2</v>
      </c>
      <c r="AS35" s="79" t="n">
        <f aca="false">IF(AR35=0,0,AO35/SUM(AR$34:AR$41))</f>
        <v>0.2</v>
      </c>
      <c r="AT35" s="88"/>
      <c r="AU35" s="62"/>
      <c r="AV35" s="62"/>
      <c r="AW35" s="62"/>
      <c r="AX35" s="45" t="str">
        <f aca="false">(IF(BA35="","◄",""))</f>
        <v>◄</v>
      </c>
      <c r="AY35" s="72" t="n">
        <v>0.2</v>
      </c>
      <c r="AZ35" s="73" t="n">
        <f aca="false">(IF(AV35&lt;&gt;"",1/2,0)+IF(AW35&lt;&gt;"",1,0))*AY35*AY$33*20</f>
        <v>0</v>
      </c>
      <c r="BA35" s="48" t="str">
        <f aca="false">IF(COUNTBLANK(AT35:AW35)=3,1,"")</f>
        <v/>
      </c>
      <c r="BB35" s="74" t="n">
        <f aca="false">IF(AT35="",AY35,0)</f>
        <v>0.2</v>
      </c>
      <c r="BC35" s="79" t="n">
        <f aca="false">IF(BB35=0,0,AY35/SUM(BB$34:BB$41))</f>
        <v>0.2</v>
      </c>
      <c r="BD35" s="88"/>
      <c r="BE35" s="62"/>
      <c r="BF35" s="62"/>
      <c r="BG35" s="62"/>
      <c r="BH35" s="45" t="str">
        <f aca="false">(IF(BK35="","◄",""))</f>
        <v>◄</v>
      </c>
      <c r="BI35" s="72" t="n">
        <v>0.2</v>
      </c>
      <c r="BJ35" s="73" t="n">
        <f aca="false">(IF(BF35&lt;&gt;"",1/2,0)+IF(BG35&lt;&gt;"",1,0))*BI35*BI$33*20</f>
        <v>0</v>
      </c>
      <c r="BK35" s="48" t="str">
        <f aca="false">IF(COUNTBLANK(BD35:BG35)=3,1,"")</f>
        <v/>
      </c>
      <c r="BL35" s="74" t="n">
        <f aca="false">IF(BD35="",BI35,0)</f>
        <v>0.2</v>
      </c>
      <c r="BM35" s="79" t="n">
        <f aca="false">IF(BL35=0,0,BI35/SUM(BL$34:BL$41))</f>
        <v>0.2</v>
      </c>
      <c r="BN35" s="88"/>
      <c r="BO35" s="62"/>
      <c r="BP35" s="62"/>
      <c r="BQ35" s="62"/>
      <c r="BR35" s="45" t="str">
        <f aca="false">(IF(BU35="","◄",""))</f>
        <v>◄</v>
      </c>
      <c r="BS35" s="72" t="n">
        <v>0.2</v>
      </c>
      <c r="BT35" s="73" t="n">
        <f aca="false">(IF(BP35&lt;&gt;"",1/2,0)+IF(BQ35&lt;&gt;"",1,0))*BS35*BS$33*20</f>
        <v>0</v>
      </c>
      <c r="BU35" s="48" t="str">
        <f aca="false">IF(COUNTBLANK(BN35:BQ35)=3,1,"")</f>
        <v/>
      </c>
      <c r="BV35" s="74" t="n">
        <f aca="false">IF(BN35="",BS35,0)</f>
        <v>0.2</v>
      </c>
      <c r="BW35" s="79" t="n">
        <f aca="false">IF(BV35=0,0,BS35/SUM(BV$34:BV$41))</f>
        <v>0.2</v>
      </c>
      <c r="BX35" s="88"/>
      <c r="BY35" s="62"/>
      <c r="BZ35" s="62"/>
      <c r="CA35" s="62"/>
      <c r="CB35" s="45" t="str">
        <f aca="false">(IF(CE35="","◄",""))</f>
        <v>◄</v>
      </c>
      <c r="CC35" s="72" t="n">
        <v>0.2</v>
      </c>
      <c r="CD35" s="73" t="n">
        <f aca="false">(IF(BZ35&lt;&gt;"",1/2,0)+IF(CA35&lt;&gt;"",1,0))*CC35*CC$33*20</f>
        <v>0</v>
      </c>
      <c r="CE35" s="48" t="str">
        <f aca="false">IF(COUNTBLANK(BX35:CA35)=3,1,"")</f>
        <v/>
      </c>
      <c r="CF35" s="74" t="n">
        <f aca="false">IF(BX35="",CC35,0)</f>
        <v>0.2</v>
      </c>
      <c r="CG35" s="79" t="n">
        <f aca="false">IF(CF35=0,0,CC35/SUM(CF$34:CF$41))</f>
        <v>0.2</v>
      </c>
      <c r="CH35" s="88"/>
      <c r="CI35" s="62"/>
      <c r="CJ35" s="62"/>
      <c r="CK35" s="62"/>
      <c r="CL35" s="45" t="str">
        <f aca="false">(IF(CO35="","◄",""))</f>
        <v>◄</v>
      </c>
      <c r="CM35" s="72" t="n">
        <v>0.2</v>
      </c>
      <c r="CN35" s="73" t="n">
        <f aca="false">(IF(CJ35&lt;&gt;"",1/2,0)+IF(CK35&lt;&gt;"",1,0))*CM35*CM$33*20</f>
        <v>0</v>
      </c>
      <c r="CO35" s="48" t="str">
        <f aca="false">IF(COUNTBLANK(CH35:CK35)=3,1,"")</f>
        <v/>
      </c>
      <c r="CP35" s="74" t="n">
        <f aca="false">IF(CH35="",CM35,0)</f>
        <v>0.2</v>
      </c>
      <c r="CQ35" s="79" t="n">
        <f aca="false">IF(CP35=0,0,CM35/SUM(CP$34:CP$41))</f>
        <v>0.2</v>
      </c>
      <c r="CR35" s="88"/>
      <c r="CS35" s="62"/>
      <c r="CT35" s="62"/>
      <c r="CU35" s="62"/>
      <c r="CV35" s="45" t="str">
        <f aca="false">(IF(CY35="","◄",""))</f>
        <v>◄</v>
      </c>
      <c r="CW35" s="72" t="n">
        <v>0.2</v>
      </c>
      <c r="CX35" s="73" t="n">
        <f aca="false">(IF(CT35&lt;&gt;"",1/2,0)+IF(CU35&lt;&gt;"",1,0))*CW35*CW$33*20</f>
        <v>0</v>
      </c>
      <c r="CY35" s="48" t="str">
        <f aca="false">IF(COUNTBLANK(CR35:CU35)=3,1,"")</f>
        <v/>
      </c>
      <c r="CZ35" s="74" t="n">
        <f aca="false">IF(CR35="",CW35,0)</f>
        <v>0.2</v>
      </c>
      <c r="DA35" s="79" t="n">
        <f aca="false">IF(CZ35=0,0,CW35/SUM(CZ$34:CZ$41))</f>
        <v>0.2</v>
      </c>
      <c r="DB35" s="88"/>
      <c r="DC35" s="62"/>
      <c r="DD35" s="62"/>
      <c r="DE35" s="62"/>
      <c r="DF35" s="45" t="str">
        <f aca="false">(IF(DI35="","◄",""))</f>
        <v>◄</v>
      </c>
      <c r="DG35" s="72" t="n">
        <v>0.2</v>
      </c>
      <c r="DH35" s="73" t="n">
        <f aca="false">(IF(DD35&lt;&gt;"",1/2,0)+IF(DE35&lt;&gt;"",1,0))*DG35*DG$33*20</f>
        <v>0</v>
      </c>
      <c r="DI35" s="48" t="str">
        <f aca="false">IF(COUNTBLANK(DB35:DE35)=3,1,"")</f>
        <v/>
      </c>
      <c r="DJ35" s="74" t="n">
        <f aca="false">IF(DB35="",DG35,0)</f>
        <v>0.2</v>
      </c>
      <c r="DK35" s="79" t="n">
        <f aca="false">IF(DJ35=0,0,DG35/SUM(DJ$34:DJ$41))</f>
        <v>0.2</v>
      </c>
      <c r="DL35" s="88"/>
      <c r="DM35" s="62"/>
      <c r="DN35" s="62"/>
      <c r="DO35" s="62"/>
      <c r="DP35" s="45" t="str">
        <f aca="false">(IF(DS35="","◄",""))</f>
        <v>◄</v>
      </c>
      <c r="DQ35" s="72" t="n">
        <v>0.2</v>
      </c>
      <c r="DR35" s="73" t="n">
        <f aca="false">(IF(DN35&lt;&gt;"",1/2,0)+IF(DO35&lt;&gt;"",1,0))*DQ35*DQ$33*20</f>
        <v>0</v>
      </c>
      <c r="DS35" s="48" t="str">
        <f aca="false">IF(COUNTBLANK(DL35:DO35)=3,1,"")</f>
        <v/>
      </c>
      <c r="DT35" s="74" t="n">
        <f aca="false">IF(DL35="",DQ35,0)</f>
        <v>0.2</v>
      </c>
      <c r="DU35" s="79" t="n">
        <f aca="false">IF(DT35=0,0,DQ35/SUM(DT$34:DT$41))</f>
        <v>0.2</v>
      </c>
      <c r="DV35" s="88"/>
      <c r="DW35" s="62"/>
      <c r="DX35" s="62"/>
      <c r="DY35" s="62"/>
      <c r="DZ35" s="45" t="str">
        <f aca="false">(IF(EC35="","◄",""))</f>
        <v>◄</v>
      </c>
      <c r="EA35" s="72" t="n">
        <v>0.2</v>
      </c>
      <c r="EB35" s="73" t="n">
        <f aca="false">(IF(DX35&lt;&gt;"",1/2,0)+IF(DY35&lt;&gt;"",1,0))*EA35*EA$33*20</f>
        <v>0</v>
      </c>
      <c r="EC35" s="48" t="str">
        <f aca="false">IF(COUNTBLANK(DV35:DY35)=3,1,"")</f>
        <v/>
      </c>
      <c r="ED35" s="74" t="n">
        <f aca="false">IF(DV35="",EA35,0)</f>
        <v>0.2</v>
      </c>
      <c r="EE35" s="79" t="n">
        <f aca="false">IF(ED35=0,0,EA35/SUM(ED$34:ED$41))</f>
        <v>0.2</v>
      </c>
      <c r="EF35" s="88"/>
      <c r="EG35" s="62"/>
      <c r="EH35" s="62"/>
      <c r="EI35" s="62"/>
      <c r="EJ35" s="45" t="str">
        <f aca="false">(IF(EM35="","◄",""))</f>
        <v>◄</v>
      </c>
      <c r="EK35" s="72" t="n">
        <v>0.2</v>
      </c>
      <c r="EL35" s="73" t="n">
        <f aca="false">(IF(EH35&lt;&gt;"",1/2,0)+IF(EI35&lt;&gt;"",1,0))*EK35*EK$33*20</f>
        <v>0</v>
      </c>
      <c r="EM35" s="48" t="str">
        <f aca="false">IF(COUNTBLANK(EF35:EI35)=3,1,"")</f>
        <v/>
      </c>
      <c r="EN35" s="74" t="n">
        <f aca="false">IF(EF35="",EK35,0)</f>
        <v>0.2</v>
      </c>
      <c r="EO35" s="79" t="n">
        <f aca="false">IF(EN35=0,0,EK35/SUM(EN$34:EN$41))</f>
        <v>0.2</v>
      </c>
      <c r="EP35" s="88"/>
      <c r="EQ35" s="62"/>
      <c r="ER35" s="62"/>
      <c r="ES35" s="62"/>
      <c r="ET35" s="45" t="str">
        <f aca="false">(IF(EW35="","◄",""))</f>
        <v>◄</v>
      </c>
      <c r="EU35" s="72" t="n">
        <v>0.2</v>
      </c>
      <c r="EV35" s="73" t="n">
        <f aca="false">(IF(ER35&lt;&gt;"",1/2,0)+IF(ES35&lt;&gt;"",1,0))*EU35*EU$33*20</f>
        <v>0</v>
      </c>
      <c r="EW35" s="48" t="str">
        <f aca="false">IF(COUNTBLANK(EP35:ES35)=3,1,"")</f>
        <v/>
      </c>
      <c r="EX35" s="74" t="n">
        <f aca="false">IF(EP35="",EU35,0)</f>
        <v>0.2</v>
      </c>
      <c r="EY35" s="79" t="n">
        <f aca="false">IF(EX35=0,0,EU35/SUM(EX$34:EX$41))</f>
        <v>0.2</v>
      </c>
      <c r="EZ35" s="88"/>
      <c r="FA35" s="62"/>
      <c r="FB35" s="62"/>
      <c r="FC35" s="62"/>
      <c r="FD35" s="45" t="str">
        <f aca="false">(IF(FG35="","◄",""))</f>
        <v>◄</v>
      </c>
      <c r="FE35" s="72" t="n">
        <v>0.2</v>
      </c>
      <c r="FF35" s="73" t="n">
        <f aca="false">(IF(FB35&lt;&gt;"",1/2,0)+IF(FC35&lt;&gt;"",1,0))*FE35*FE$33*20</f>
        <v>0</v>
      </c>
      <c r="FG35" s="48" t="str">
        <f aca="false">IF(COUNTBLANK(EZ35:FC35)=3,1,"")</f>
        <v/>
      </c>
      <c r="FH35" s="74" t="n">
        <f aca="false">IF(EZ35="",FE35,0)</f>
        <v>0.2</v>
      </c>
      <c r="FI35" s="79" t="n">
        <f aca="false">IF(FH35=0,0,FE35/SUM(FH$34:FH$41))</f>
        <v>0.2</v>
      </c>
      <c r="FJ35" s="88"/>
      <c r="FK35" s="62"/>
      <c r="FL35" s="62"/>
      <c r="FM35" s="62"/>
      <c r="FN35" s="45" t="str">
        <f aca="false">(IF(FQ35="","◄",""))</f>
        <v>◄</v>
      </c>
      <c r="FO35" s="72" t="n">
        <v>0.2</v>
      </c>
      <c r="FP35" s="73" t="n">
        <f aca="false">(IF(FL35&lt;&gt;"",1/2,0)+IF(FM35&lt;&gt;"",1,0))*FO35*FO$33*20</f>
        <v>0</v>
      </c>
      <c r="FQ35" s="48" t="str">
        <f aca="false">IF(COUNTBLANK(FJ35:FM35)=3,1,"")</f>
        <v/>
      </c>
      <c r="FR35" s="74" t="n">
        <f aca="false">IF(FJ35="",FO35,0)</f>
        <v>0.2</v>
      </c>
      <c r="FS35" s="79" t="n">
        <f aca="false">IF(FR35=0,0,FO35/SUM(FR$34:FR$41))</f>
        <v>0.2</v>
      </c>
      <c r="FT35" s="88"/>
      <c r="FU35" s="62"/>
      <c r="FV35" s="62"/>
      <c r="FW35" s="62"/>
      <c r="FX35" s="45" t="str">
        <f aca="false">(IF(GA35="","◄",""))</f>
        <v>◄</v>
      </c>
      <c r="FY35" s="72" t="n">
        <v>0.2</v>
      </c>
      <c r="FZ35" s="73" t="n">
        <f aca="false">(IF(FV35&lt;&gt;"",1/2,0)+IF(FW35&lt;&gt;"",1,0))*FY35*FY$33*20</f>
        <v>0</v>
      </c>
      <c r="GA35" s="48" t="str">
        <f aca="false">IF(COUNTBLANK(FT35:FW35)=3,1,"")</f>
        <v/>
      </c>
      <c r="GB35" s="74" t="n">
        <f aca="false">IF(FT35="",FY35,0)</f>
        <v>0.2</v>
      </c>
      <c r="GC35" s="79" t="n">
        <f aca="false">IF(GB35=0,0,FY35/SUM(GB$34:GB$41))</f>
        <v>0.2</v>
      </c>
      <c r="GD35" s="88"/>
      <c r="GE35" s="62"/>
      <c r="GF35" s="62"/>
      <c r="GG35" s="62"/>
      <c r="GH35" s="45" t="str">
        <f aca="false">(IF(GK35="","◄",""))</f>
        <v>◄</v>
      </c>
      <c r="GI35" s="72" t="n">
        <v>0.2</v>
      </c>
      <c r="GJ35" s="73" t="n">
        <f aca="false">(IF(GF35&lt;&gt;"",1/2,0)+IF(GG35&lt;&gt;"",1,0))*GI35*GI$33*20</f>
        <v>0</v>
      </c>
      <c r="GK35" s="48" t="str">
        <f aca="false">IF(COUNTBLANK(GD35:GG35)=3,1,"")</f>
        <v/>
      </c>
      <c r="GL35" s="74" t="n">
        <f aca="false">IF(GD35="",GI35,0)</f>
        <v>0.2</v>
      </c>
      <c r="GM35" s="79" t="n">
        <f aca="false">IF(GL35=0,0,GI35/SUM(GL$34:GL$41))</f>
        <v>0.2</v>
      </c>
      <c r="GN35" s="88"/>
      <c r="GO35" s="62"/>
      <c r="GP35" s="62"/>
      <c r="GQ35" s="62"/>
      <c r="GR35" s="45" t="str">
        <f aca="false">(IF(GU35="","◄",""))</f>
        <v>◄</v>
      </c>
      <c r="GS35" s="72" t="n">
        <v>0.2</v>
      </c>
      <c r="GT35" s="73" t="n">
        <f aca="false">(IF(GP35&lt;&gt;"",1/2,0)+IF(GQ35&lt;&gt;"",1,0))*GS35*GS$33*20</f>
        <v>0</v>
      </c>
      <c r="GU35" s="48" t="str">
        <f aca="false">IF(COUNTBLANK(GN35:GQ35)=3,1,"")</f>
        <v/>
      </c>
      <c r="GV35" s="74" t="n">
        <f aca="false">IF(GN35="",GS35,0)</f>
        <v>0.2</v>
      </c>
      <c r="GW35" s="79" t="n">
        <f aca="false">IF(GV35=0,0,GS35/SUM(GV$34:GV$41))</f>
        <v>0.2</v>
      </c>
      <c r="GX35" s="88"/>
      <c r="GY35" s="62"/>
      <c r="GZ35" s="62"/>
      <c r="HA35" s="62"/>
      <c r="HB35" s="45" t="str">
        <f aca="false">(IF(HE35="","◄",""))</f>
        <v>◄</v>
      </c>
      <c r="HC35" s="72" t="n">
        <v>0.2</v>
      </c>
      <c r="HD35" s="73" t="n">
        <f aca="false">(IF(GZ35&lt;&gt;"",1/2,0)+IF(HA35&lt;&gt;"",1,0))*HC35*HC$33*20</f>
        <v>0</v>
      </c>
      <c r="HE35" s="48" t="str">
        <f aca="false">IF(COUNTBLANK(GX35:HA35)=3,1,"")</f>
        <v/>
      </c>
      <c r="HF35" s="74" t="n">
        <f aca="false">IF(GX35="",HC35,0)</f>
        <v>0.2</v>
      </c>
      <c r="HG35" s="79" t="n">
        <f aca="false">IF(HF35=0,0,HC35/SUM(HF$34:HF$41))</f>
        <v>0.2</v>
      </c>
      <c r="HH35" s="88"/>
      <c r="HI35" s="62"/>
      <c r="HJ35" s="62"/>
      <c r="HK35" s="62"/>
      <c r="HL35" s="45" t="str">
        <f aca="false">(IF(HO35="","◄",""))</f>
        <v>◄</v>
      </c>
      <c r="HM35" s="72" t="n">
        <v>0.2</v>
      </c>
      <c r="HN35" s="73" t="n">
        <f aca="false">(IF(HJ35&lt;&gt;"",1/2,0)+IF(HK35&lt;&gt;"",1,0))*HM35*HM$33*20</f>
        <v>0</v>
      </c>
      <c r="HO35" s="48" t="str">
        <f aca="false">IF(COUNTBLANK(HH35:HK35)=3,1,"")</f>
        <v/>
      </c>
      <c r="HP35" s="74" t="n">
        <f aca="false">IF(HH35="",HM35,0)</f>
        <v>0.2</v>
      </c>
      <c r="HQ35" s="79" t="n">
        <f aca="false">IF(HP35=0,0,HM35/SUM(HP$34:HP$41))</f>
        <v>0.2</v>
      </c>
      <c r="HR35" s="88"/>
      <c r="HS35" s="62"/>
      <c r="HT35" s="62"/>
      <c r="HU35" s="62"/>
      <c r="HV35" s="45" t="str">
        <f aca="false">(IF(HY35="","◄",""))</f>
        <v>◄</v>
      </c>
      <c r="HW35" s="72" t="n">
        <v>0.2</v>
      </c>
      <c r="HX35" s="73" t="n">
        <f aca="false">(IF(HT35&lt;&gt;"",1/2,0)+IF(HU35&lt;&gt;"",1,0))*HW35*HW$33*20</f>
        <v>0</v>
      </c>
      <c r="HY35" s="48" t="str">
        <f aca="false">IF(COUNTBLANK(HR35:HU35)=3,1,"")</f>
        <v/>
      </c>
      <c r="HZ35" s="74" t="n">
        <f aca="false">IF(HR35="",HW35,0)</f>
        <v>0.2</v>
      </c>
      <c r="IA35" s="79" t="n">
        <f aca="false">IF(HZ35=0,0,HW35/SUM(HZ$34:HZ$41))</f>
        <v>0.2</v>
      </c>
      <c r="IB35" s="88"/>
      <c r="IC35" s="62"/>
      <c r="ID35" s="62"/>
      <c r="IE35" s="62"/>
      <c r="IF35" s="45" t="str">
        <f aca="false">(IF(II35="","◄",""))</f>
        <v>◄</v>
      </c>
      <c r="IG35" s="72" t="n">
        <v>0.2</v>
      </c>
      <c r="IH35" s="73" t="n">
        <f aca="false">(IF(ID35&lt;&gt;"",1/2,0)+IF(IE35&lt;&gt;"",1,0))*IG35*IG$33*20</f>
        <v>0</v>
      </c>
      <c r="II35" s="48" t="str">
        <f aca="false">IF(COUNTBLANK(IB35:IE35)=3,1,"")</f>
        <v/>
      </c>
      <c r="IJ35" s="74" t="n">
        <f aca="false">IF(IB35="",IG35,0)</f>
        <v>0.2</v>
      </c>
      <c r="IK35" s="79" t="n">
        <f aca="false">IF(IJ35=0,0,IG35/SUM(IJ$34:IJ$41))</f>
        <v>0.2</v>
      </c>
    </row>
    <row r="36" customFormat="false" ht="49.5" hidden="false" customHeight="true" outlineLevel="0" collapsed="false">
      <c r="A36" s="83"/>
      <c r="B36" s="81"/>
      <c r="C36" s="85"/>
      <c r="D36" s="52"/>
      <c r="E36" s="53" t="s">
        <v>87</v>
      </c>
      <c r="F36" s="88"/>
      <c r="G36" s="62"/>
      <c r="H36" s="62"/>
      <c r="I36" s="62"/>
      <c r="J36" s="45" t="str">
        <f aca="false">(IF(M36="","◄",""))</f>
        <v>◄</v>
      </c>
      <c r="K36" s="72" t="n">
        <v>0.2</v>
      </c>
      <c r="L36" s="73" t="n">
        <f aca="false">(IF(H36&lt;&gt;"",1/2,0)+IF(I36&lt;&gt;"",1,0))*K36*K$33*20</f>
        <v>0</v>
      </c>
      <c r="M36" s="48" t="str">
        <f aca="false">IF(COUNTBLANK(F36:I36)=3,1,"")</f>
        <v/>
      </c>
      <c r="N36" s="74" t="n">
        <f aca="false">IF(F36="",K36,0)</f>
        <v>0.2</v>
      </c>
      <c r="O36" s="79" t="n">
        <f aca="false">IF(N36=0,0,K36/SUM(N$34:N$41))</f>
        <v>0.2</v>
      </c>
      <c r="P36" s="88"/>
      <c r="Q36" s="62"/>
      <c r="R36" s="62"/>
      <c r="S36" s="62"/>
      <c r="T36" s="45" t="str">
        <f aca="false">(IF(W36="","◄",""))</f>
        <v>◄</v>
      </c>
      <c r="U36" s="72" t="n">
        <v>0.2</v>
      </c>
      <c r="V36" s="73" t="n">
        <f aca="false">(IF(R36&lt;&gt;"",1/2,0)+IF(S36&lt;&gt;"",1,0))*U36*U$33*20</f>
        <v>0</v>
      </c>
      <c r="W36" s="48" t="str">
        <f aca="false">IF(COUNTBLANK(P36:S36)=3,1,"")</f>
        <v/>
      </c>
      <c r="X36" s="74" t="n">
        <f aca="false">IF(P36="",U36,0)</f>
        <v>0.2</v>
      </c>
      <c r="Y36" s="79" t="n">
        <f aca="false">IF(X36=0,0,U36/SUM(X$34:X$41))</f>
        <v>0.2</v>
      </c>
      <c r="Z36" s="88"/>
      <c r="AA36" s="62"/>
      <c r="AB36" s="62"/>
      <c r="AC36" s="62"/>
      <c r="AD36" s="45" t="str">
        <f aca="false">(IF(AG36="","◄",""))</f>
        <v>◄</v>
      </c>
      <c r="AE36" s="72" t="n">
        <v>0.2</v>
      </c>
      <c r="AF36" s="73" t="n">
        <f aca="false">(IF(AB36&lt;&gt;"",1/2,0)+IF(AC36&lt;&gt;"",1,0))*AE36*AE$33*20</f>
        <v>0</v>
      </c>
      <c r="AG36" s="48" t="str">
        <f aca="false">IF(COUNTBLANK(Z36:AC36)=3,1,"")</f>
        <v/>
      </c>
      <c r="AH36" s="74" t="n">
        <f aca="false">IF(Z36="",AE36,0)</f>
        <v>0.2</v>
      </c>
      <c r="AI36" s="79" t="n">
        <f aca="false">IF(AH36=0,0,AE36/SUM(AH$34:AH$41))</f>
        <v>0.2</v>
      </c>
      <c r="AJ36" s="88"/>
      <c r="AK36" s="62"/>
      <c r="AL36" s="62"/>
      <c r="AM36" s="62"/>
      <c r="AN36" s="45" t="str">
        <f aca="false">(IF(AQ36="","◄",""))</f>
        <v>◄</v>
      </c>
      <c r="AO36" s="72" t="n">
        <v>0.2</v>
      </c>
      <c r="AP36" s="73" t="n">
        <f aca="false">(IF(AL36&lt;&gt;"",1/2,0)+IF(AM36&lt;&gt;"",1,0))*AO36*AO$33*20</f>
        <v>0</v>
      </c>
      <c r="AQ36" s="48" t="str">
        <f aca="false">IF(COUNTBLANK(AJ36:AM36)=3,1,"")</f>
        <v/>
      </c>
      <c r="AR36" s="74" t="n">
        <f aca="false">IF(AJ36="",AO36,0)</f>
        <v>0.2</v>
      </c>
      <c r="AS36" s="79" t="n">
        <f aca="false">IF(AR36=0,0,AO36/SUM(AR$34:AR$41))</f>
        <v>0.2</v>
      </c>
      <c r="AT36" s="88"/>
      <c r="AU36" s="62"/>
      <c r="AV36" s="62"/>
      <c r="AW36" s="62"/>
      <c r="AX36" s="45" t="str">
        <f aca="false">(IF(BA36="","◄",""))</f>
        <v>◄</v>
      </c>
      <c r="AY36" s="72" t="n">
        <v>0.2</v>
      </c>
      <c r="AZ36" s="73" t="n">
        <f aca="false">(IF(AV36&lt;&gt;"",1/2,0)+IF(AW36&lt;&gt;"",1,0))*AY36*AY$33*20</f>
        <v>0</v>
      </c>
      <c r="BA36" s="48" t="str">
        <f aca="false">IF(COUNTBLANK(AT36:AW36)=3,1,"")</f>
        <v/>
      </c>
      <c r="BB36" s="74" t="n">
        <f aca="false">IF(AT36="",AY36,0)</f>
        <v>0.2</v>
      </c>
      <c r="BC36" s="79" t="n">
        <f aca="false">IF(BB36=0,0,AY36/SUM(BB$34:BB$41))</f>
        <v>0.2</v>
      </c>
      <c r="BD36" s="88"/>
      <c r="BE36" s="62"/>
      <c r="BF36" s="62"/>
      <c r="BG36" s="62"/>
      <c r="BH36" s="45" t="str">
        <f aca="false">(IF(BK36="","◄",""))</f>
        <v>◄</v>
      </c>
      <c r="BI36" s="72" t="n">
        <v>0.2</v>
      </c>
      <c r="BJ36" s="73" t="n">
        <f aca="false">(IF(BF36&lt;&gt;"",1/2,0)+IF(BG36&lt;&gt;"",1,0))*BI36*BI$33*20</f>
        <v>0</v>
      </c>
      <c r="BK36" s="48" t="str">
        <f aca="false">IF(COUNTBLANK(BD36:BG36)=3,1,"")</f>
        <v/>
      </c>
      <c r="BL36" s="74" t="n">
        <f aca="false">IF(BD36="",BI36,0)</f>
        <v>0.2</v>
      </c>
      <c r="BM36" s="79" t="n">
        <f aca="false">IF(BL36=0,0,BI36/SUM(BL$34:BL$41))</f>
        <v>0.2</v>
      </c>
      <c r="BN36" s="88"/>
      <c r="BO36" s="62"/>
      <c r="BP36" s="62"/>
      <c r="BQ36" s="62"/>
      <c r="BR36" s="45" t="str">
        <f aca="false">(IF(BU36="","◄",""))</f>
        <v>◄</v>
      </c>
      <c r="BS36" s="72" t="n">
        <v>0.2</v>
      </c>
      <c r="BT36" s="73" t="n">
        <f aca="false">(IF(BP36&lt;&gt;"",1/2,0)+IF(BQ36&lt;&gt;"",1,0))*BS36*BS$33*20</f>
        <v>0</v>
      </c>
      <c r="BU36" s="48" t="str">
        <f aca="false">IF(COUNTBLANK(BN36:BQ36)=3,1,"")</f>
        <v/>
      </c>
      <c r="BV36" s="74" t="n">
        <f aca="false">IF(BN36="",BS36,0)</f>
        <v>0.2</v>
      </c>
      <c r="BW36" s="79" t="n">
        <f aca="false">IF(BV36=0,0,BS36/SUM(BV$34:BV$41))</f>
        <v>0.2</v>
      </c>
      <c r="BX36" s="88"/>
      <c r="BY36" s="62"/>
      <c r="BZ36" s="62"/>
      <c r="CA36" s="62"/>
      <c r="CB36" s="45" t="str">
        <f aca="false">(IF(CE36="","◄",""))</f>
        <v>◄</v>
      </c>
      <c r="CC36" s="72" t="n">
        <v>0.2</v>
      </c>
      <c r="CD36" s="73" t="n">
        <f aca="false">(IF(BZ36&lt;&gt;"",1/2,0)+IF(CA36&lt;&gt;"",1,0))*CC36*CC$33*20</f>
        <v>0</v>
      </c>
      <c r="CE36" s="48" t="str">
        <f aca="false">IF(COUNTBLANK(BX36:CA36)=3,1,"")</f>
        <v/>
      </c>
      <c r="CF36" s="74" t="n">
        <f aca="false">IF(BX36="",CC36,0)</f>
        <v>0.2</v>
      </c>
      <c r="CG36" s="79" t="n">
        <f aca="false">IF(CF36=0,0,CC36/SUM(CF$34:CF$41))</f>
        <v>0.2</v>
      </c>
      <c r="CH36" s="88"/>
      <c r="CI36" s="62"/>
      <c r="CJ36" s="62"/>
      <c r="CK36" s="62"/>
      <c r="CL36" s="45" t="str">
        <f aca="false">(IF(CO36="","◄",""))</f>
        <v>◄</v>
      </c>
      <c r="CM36" s="72" t="n">
        <v>0.2</v>
      </c>
      <c r="CN36" s="73" t="n">
        <f aca="false">(IF(CJ36&lt;&gt;"",1/2,0)+IF(CK36&lt;&gt;"",1,0))*CM36*CM$33*20</f>
        <v>0</v>
      </c>
      <c r="CO36" s="48" t="str">
        <f aca="false">IF(COUNTBLANK(CH36:CK36)=3,1,"")</f>
        <v/>
      </c>
      <c r="CP36" s="74" t="n">
        <f aca="false">IF(CH36="",CM36,0)</f>
        <v>0.2</v>
      </c>
      <c r="CQ36" s="79" t="n">
        <f aca="false">IF(CP36=0,0,CM36/SUM(CP$34:CP$41))</f>
        <v>0.2</v>
      </c>
      <c r="CR36" s="88"/>
      <c r="CS36" s="62"/>
      <c r="CT36" s="62"/>
      <c r="CU36" s="62"/>
      <c r="CV36" s="45" t="str">
        <f aca="false">(IF(CY36="","◄",""))</f>
        <v>◄</v>
      </c>
      <c r="CW36" s="72" t="n">
        <v>0.2</v>
      </c>
      <c r="CX36" s="73" t="n">
        <f aca="false">(IF(CT36&lt;&gt;"",1/2,0)+IF(CU36&lt;&gt;"",1,0))*CW36*CW$33*20</f>
        <v>0</v>
      </c>
      <c r="CY36" s="48" t="str">
        <f aca="false">IF(COUNTBLANK(CR36:CU36)=3,1,"")</f>
        <v/>
      </c>
      <c r="CZ36" s="74" t="n">
        <f aca="false">IF(CR36="",CW36,0)</f>
        <v>0.2</v>
      </c>
      <c r="DA36" s="79" t="n">
        <f aca="false">IF(CZ36=0,0,CW36/SUM(CZ$34:CZ$41))</f>
        <v>0.2</v>
      </c>
      <c r="DB36" s="88"/>
      <c r="DC36" s="62"/>
      <c r="DD36" s="62"/>
      <c r="DE36" s="62"/>
      <c r="DF36" s="45" t="str">
        <f aca="false">(IF(DI36="","◄",""))</f>
        <v>◄</v>
      </c>
      <c r="DG36" s="72" t="n">
        <v>0.2</v>
      </c>
      <c r="DH36" s="73" t="n">
        <f aca="false">(IF(DD36&lt;&gt;"",1/2,0)+IF(DE36&lt;&gt;"",1,0))*DG36*DG$33*20</f>
        <v>0</v>
      </c>
      <c r="DI36" s="48" t="str">
        <f aca="false">IF(COUNTBLANK(DB36:DE36)=3,1,"")</f>
        <v/>
      </c>
      <c r="DJ36" s="74" t="n">
        <f aca="false">IF(DB36="",DG36,0)</f>
        <v>0.2</v>
      </c>
      <c r="DK36" s="79" t="n">
        <f aca="false">IF(DJ36=0,0,DG36/SUM(DJ$34:DJ$41))</f>
        <v>0.2</v>
      </c>
      <c r="DL36" s="88"/>
      <c r="DM36" s="62"/>
      <c r="DN36" s="62"/>
      <c r="DO36" s="62"/>
      <c r="DP36" s="45" t="str">
        <f aca="false">(IF(DS36="","◄",""))</f>
        <v>◄</v>
      </c>
      <c r="DQ36" s="72" t="n">
        <v>0.2</v>
      </c>
      <c r="DR36" s="73" t="n">
        <f aca="false">(IF(DN36&lt;&gt;"",1/2,0)+IF(DO36&lt;&gt;"",1,0))*DQ36*DQ$33*20</f>
        <v>0</v>
      </c>
      <c r="DS36" s="48" t="str">
        <f aca="false">IF(COUNTBLANK(DL36:DO36)=3,1,"")</f>
        <v/>
      </c>
      <c r="DT36" s="74" t="n">
        <f aca="false">IF(DL36="",DQ36,0)</f>
        <v>0.2</v>
      </c>
      <c r="DU36" s="79" t="n">
        <f aca="false">IF(DT36=0,0,DQ36/SUM(DT$34:DT$41))</f>
        <v>0.2</v>
      </c>
      <c r="DV36" s="88"/>
      <c r="DW36" s="62"/>
      <c r="DX36" s="62"/>
      <c r="DY36" s="62"/>
      <c r="DZ36" s="45" t="str">
        <f aca="false">(IF(EC36="","◄",""))</f>
        <v>◄</v>
      </c>
      <c r="EA36" s="72" t="n">
        <v>0.2</v>
      </c>
      <c r="EB36" s="73" t="n">
        <f aca="false">(IF(DX36&lt;&gt;"",1/2,0)+IF(DY36&lt;&gt;"",1,0))*EA36*EA$33*20</f>
        <v>0</v>
      </c>
      <c r="EC36" s="48" t="str">
        <f aca="false">IF(COUNTBLANK(DV36:DY36)=3,1,"")</f>
        <v/>
      </c>
      <c r="ED36" s="74" t="n">
        <f aca="false">IF(DV36="",EA36,0)</f>
        <v>0.2</v>
      </c>
      <c r="EE36" s="79" t="n">
        <f aca="false">IF(ED36=0,0,EA36/SUM(ED$34:ED$41))</f>
        <v>0.2</v>
      </c>
      <c r="EF36" s="88"/>
      <c r="EG36" s="62"/>
      <c r="EH36" s="62"/>
      <c r="EI36" s="62"/>
      <c r="EJ36" s="45" t="str">
        <f aca="false">(IF(EM36="","◄",""))</f>
        <v>◄</v>
      </c>
      <c r="EK36" s="72" t="n">
        <v>0.2</v>
      </c>
      <c r="EL36" s="73" t="n">
        <f aca="false">(IF(EH36&lt;&gt;"",1/2,0)+IF(EI36&lt;&gt;"",1,0))*EK36*EK$33*20</f>
        <v>0</v>
      </c>
      <c r="EM36" s="48" t="str">
        <f aca="false">IF(COUNTBLANK(EF36:EI36)=3,1,"")</f>
        <v/>
      </c>
      <c r="EN36" s="74" t="n">
        <f aca="false">IF(EF36="",EK36,0)</f>
        <v>0.2</v>
      </c>
      <c r="EO36" s="79" t="n">
        <f aca="false">IF(EN36=0,0,EK36/SUM(EN$34:EN$41))</f>
        <v>0.2</v>
      </c>
      <c r="EP36" s="88"/>
      <c r="EQ36" s="62"/>
      <c r="ER36" s="62"/>
      <c r="ES36" s="62"/>
      <c r="ET36" s="45" t="str">
        <f aca="false">(IF(EW36="","◄",""))</f>
        <v>◄</v>
      </c>
      <c r="EU36" s="72" t="n">
        <v>0.2</v>
      </c>
      <c r="EV36" s="73" t="n">
        <f aca="false">(IF(ER36&lt;&gt;"",1/2,0)+IF(ES36&lt;&gt;"",1,0))*EU36*EU$33*20</f>
        <v>0</v>
      </c>
      <c r="EW36" s="48" t="str">
        <f aca="false">IF(COUNTBLANK(EP36:ES36)=3,1,"")</f>
        <v/>
      </c>
      <c r="EX36" s="74" t="n">
        <f aca="false">IF(EP36="",EU36,0)</f>
        <v>0.2</v>
      </c>
      <c r="EY36" s="79" t="n">
        <f aca="false">IF(EX36=0,0,EU36/SUM(EX$34:EX$41))</f>
        <v>0.2</v>
      </c>
      <c r="EZ36" s="88"/>
      <c r="FA36" s="62"/>
      <c r="FB36" s="62"/>
      <c r="FC36" s="62"/>
      <c r="FD36" s="45" t="str">
        <f aca="false">(IF(FG36="","◄",""))</f>
        <v>◄</v>
      </c>
      <c r="FE36" s="72" t="n">
        <v>0.2</v>
      </c>
      <c r="FF36" s="73" t="n">
        <f aca="false">(IF(FB36&lt;&gt;"",1/2,0)+IF(FC36&lt;&gt;"",1,0))*FE36*FE$33*20</f>
        <v>0</v>
      </c>
      <c r="FG36" s="48" t="str">
        <f aca="false">IF(COUNTBLANK(EZ36:FC36)=3,1,"")</f>
        <v/>
      </c>
      <c r="FH36" s="74" t="n">
        <f aca="false">IF(EZ36="",FE36,0)</f>
        <v>0.2</v>
      </c>
      <c r="FI36" s="79" t="n">
        <f aca="false">IF(FH36=0,0,FE36/SUM(FH$34:FH$41))</f>
        <v>0.2</v>
      </c>
      <c r="FJ36" s="88"/>
      <c r="FK36" s="62"/>
      <c r="FL36" s="62"/>
      <c r="FM36" s="62"/>
      <c r="FN36" s="45" t="str">
        <f aca="false">(IF(FQ36="","◄",""))</f>
        <v>◄</v>
      </c>
      <c r="FO36" s="72" t="n">
        <v>0.2</v>
      </c>
      <c r="FP36" s="73" t="n">
        <f aca="false">(IF(FL36&lt;&gt;"",1/2,0)+IF(FM36&lt;&gt;"",1,0))*FO36*FO$33*20</f>
        <v>0</v>
      </c>
      <c r="FQ36" s="48" t="str">
        <f aca="false">IF(COUNTBLANK(FJ36:FM36)=3,1,"")</f>
        <v/>
      </c>
      <c r="FR36" s="74" t="n">
        <f aca="false">IF(FJ36="",FO36,0)</f>
        <v>0.2</v>
      </c>
      <c r="FS36" s="79" t="n">
        <f aca="false">IF(FR36=0,0,FO36/SUM(FR$34:FR$41))</f>
        <v>0.2</v>
      </c>
      <c r="FT36" s="88"/>
      <c r="FU36" s="62"/>
      <c r="FV36" s="62"/>
      <c r="FW36" s="62"/>
      <c r="FX36" s="45" t="str">
        <f aca="false">(IF(GA36="","◄",""))</f>
        <v>◄</v>
      </c>
      <c r="FY36" s="72" t="n">
        <v>0.2</v>
      </c>
      <c r="FZ36" s="73" t="n">
        <f aca="false">(IF(FV36&lt;&gt;"",1/2,0)+IF(FW36&lt;&gt;"",1,0))*FY36*FY$33*20</f>
        <v>0</v>
      </c>
      <c r="GA36" s="48" t="str">
        <f aca="false">IF(COUNTBLANK(FT36:FW36)=3,1,"")</f>
        <v/>
      </c>
      <c r="GB36" s="74" t="n">
        <f aca="false">IF(FT36="",FY36,0)</f>
        <v>0.2</v>
      </c>
      <c r="GC36" s="79" t="n">
        <f aca="false">IF(GB36=0,0,FY36/SUM(GB$34:GB$41))</f>
        <v>0.2</v>
      </c>
      <c r="GD36" s="88"/>
      <c r="GE36" s="62"/>
      <c r="GF36" s="62"/>
      <c r="GG36" s="62"/>
      <c r="GH36" s="45" t="str">
        <f aca="false">(IF(GK36="","◄",""))</f>
        <v>◄</v>
      </c>
      <c r="GI36" s="72" t="n">
        <v>0.2</v>
      </c>
      <c r="GJ36" s="73" t="n">
        <f aca="false">(IF(GF36&lt;&gt;"",1/2,0)+IF(GG36&lt;&gt;"",1,0))*GI36*GI$33*20</f>
        <v>0</v>
      </c>
      <c r="GK36" s="48" t="str">
        <f aca="false">IF(COUNTBLANK(GD36:GG36)=3,1,"")</f>
        <v/>
      </c>
      <c r="GL36" s="74" t="n">
        <f aca="false">IF(GD36="",GI36,0)</f>
        <v>0.2</v>
      </c>
      <c r="GM36" s="79" t="n">
        <f aca="false">IF(GL36=0,0,GI36/SUM(GL$34:GL$41))</f>
        <v>0.2</v>
      </c>
      <c r="GN36" s="88"/>
      <c r="GO36" s="62"/>
      <c r="GP36" s="62"/>
      <c r="GQ36" s="62"/>
      <c r="GR36" s="45" t="str">
        <f aca="false">(IF(GU36="","◄",""))</f>
        <v>◄</v>
      </c>
      <c r="GS36" s="72" t="n">
        <v>0.2</v>
      </c>
      <c r="GT36" s="73" t="n">
        <f aca="false">(IF(GP36&lt;&gt;"",1/2,0)+IF(GQ36&lt;&gt;"",1,0))*GS36*GS$33*20</f>
        <v>0</v>
      </c>
      <c r="GU36" s="48" t="str">
        <f aca="false">IF(COUNTBLANK(GN36:GQ36)=3,1,"")</f>
        <v/>
      </c>
      <c r="GV36" s="74" t="n">
        <f aca="false">IF(GN36="",GS36,0)</f>
        <v>0.2</v>
      </c>
      <c r="GW36" s="79" t="n">
        <f aca="false">IF(GV36=0,0,GS36/SUM(GV$34:GV$41))</f>
        <v>0.2</v>
      </c>
      <c r="GX36" s="88"/>
      <c r="GY36" s="62"/>
      <c r="GZ36" s="62"/>
      <c r="HA36" s="62"/>
      <c r="HB36" s="45" t="str">
        <f aca="false">(IF(HE36="","◄",""))</f>
        <v>◄</v>
      </c>
      <c r="HC36" s="72" t="n">
        <v>0.2</v>
      </c>
      <c r="HD36" s="73" t="n">
        <f aca="false">(IF(GZ36&lt;&gt;"",1/2,0)+IF(HA36&lt;&gt;"",1,0))*HC36*HC$33*20</f>
        <v>0</v>
      </c>
      <c r="HE36" s="48" t="str">
        <f aca="false">IF(COUNTBLANK(GX36:HA36)=3,1,"")</f>
        <v/>
      </c>
      <c r="HF36" s="74" t="n">
        <f aca="false">IF(GX36="",HC36,0)</f>
        <v>0.2</v>
      </c>
      <c r="HG36" s="79" t="n">
        <f aca="false">IF(HF36=0,0,HC36/SUM(HF$34:HF$41))</f>
        <v>0.2</v>
      </c>
      <c r="HH36" s="88"/>
      <c r="HI36" s="62"/>
      <c r="HJ36" s="62"/>
      <c r="HK36" s="62"/>
      <c r="HL36" s="45" t="str">
        <f aca="false">(IF(HO36="","◄",""))</f>
        <v>◄</v>
      </c>
      <c r="HM36" s="72" t="n">
        <v>0.2</v>
      </c>
      <c r="HN36" s="73" t="n">
        <f aca="false">(IF(HJ36&lt;&gt;"",1/2,0)+IF(HK36&lt;&gt;"",1,0))*HM36*HM$33*20</f>
        <v>0</v>
      </c>
      <c r="HO36" s="48" t="str">
        <f aca="false">IF(COUNTBLANK(HH36:HK36)=3,1,"")</f>
        <v/>
      </c>
      <c r="HP36" s="74" t="n">
        <f aca="false">IF(HH36="",HM36,0)</f>
        <v>0.2</v>
      </c>
      <c r="HQ36" s="79" t="n">
        <f aca="false">IF(HP36=0,0,HM36/SUM(HP$34:HP$41))</f>
        <v>0.2</v>
      </c>
      <c r="HR36" s="88"/>
      <c r="HS36" s="62"/>
      <c r="HT36" s="62"/>
      <c r="HU36" s="62"/>
      <c r="HV36" s="45" t="str">
        <f aca="false">(IF(HY36="","◄",""))</f>
        <v>◄</v>
      </c>
      <c r="HW36" s="72" t="n">
        <v>0.2</v>
      </c>
      <c r="HX36" s="73" t="n">
        <f aca="false">(IF(HT36&lt;&gt;"",1/2,0)+IF(HU36&lt;&gt;"",1,0))*HW36*HW$33*20</f>
        <v>0</v>
      </c>
      <c r="HY36" s="48" t="str">
        <f aca="false">IF(COUNTBLANK(HR36:HU36)=3,1,"")</f>
        <v/>
      </c>
      <c r="HZ36" s="74" t="n">
        <f aca="false">IF(HR36="",HW36,0)</f>
        <v>0.2</v>
      </c>
      <c r="IA36" s="79" t="n">
        <f aca="false">IF(HZ36=0,0,HW36/SUM(HZ$34:HZ$41))</f>
        <v>0.2</v>
      </c>
      <c r="IB36" s="88"/>
      <c r="IC36" s="62"/>
      <c r="ID36" s="62"/>
      <c r="IE36" s="62"/>
      <c r="IF36" s="45" t="str">
        <f aca="false">(IF(II36="","◄",""))</f>
        <v>◄</v>
      </c>
      <c r="IG36" s="72" t="n">
        <v>0.2</v>
      </c>
      <c r="IH36" s="73" t="n">
        <f aca="false">(IF(ID36&lt;&gt;"",1/2,0)+IF(IE36&lt;&gt;"",1,0))*IG36*IG$33*20</f>
        <v>0</v>
      </c>
      <c r="II36" s="48" t="str">
        <f aca="false">IF(COUNTBLANK(IB36:IE36)=3,1,"")</f>
        <v/>
      </c>
      <c r="IJ36" s="74" t="n">
        <f aca="false">IF(IB36="",IG36,0)</f>
        <v>0.2</v>
      </c>
      <c r="IK36" s="79" t="n">
        <f aca="false">IF(IJ36=0,0,IG36/SUM(IJ$34:IJ$41))</f>
        <v>0.2</v>
      </c>
    </row>
    <row r="37" customFormat="false" ht="49.5" hidden="false" customHeight="true" outlineLevel="0" collapsed="false">
      <c r="A37" s="83"/>
      <c r="B37" s="81"/>
      <c r="C37" s="89"/>
      <c r="D37" s="52" t="s">
        <v>88</v>
      </c>
      <c r="E37" s="53" t="s">
        <v>89</v>
      </c>
      <c r="F37" s="88"/>
      <c r="G37" s="62"/>
      <c r="H37" s="62"/>
      <c r="I37" s="62"/>
      <c r="J37" s="45" t="str">
        <f aca="false">(IF(M37="","◄",""))</f>
        <v>◄</v>
      </c>
      <c r="K37" s="72" t="n">
        <v>0.05</v>
      </c>
      <c r="L37" s="73" t="n">
        <f aca="false">(IF(H37&lt;&gt;"",1/2,0)+IF(I37&lt;&gt;"",1,0))*K37*K$33*20</f>
        <v>0</v>
      </c>
      <c r="M37" s="48" t="str">
        <f aca="false">IF(COUNTBLANK(F37:I37)=3,1,"")</f>
        <v/>
      </c>
      <c r="N37" s="74" t="n">
        <f aca="false">IF(F37="",K37,0)</f>
        <v>0.05</v>
      </c>
      <c r="O37" s="79" t="n">
        <f aca="false">IF(N37=0,0,K37/SUM(N$34:N$41))</f>
        <v>0.05</v>
      </c>
      <c r="P37" s="88"/>
      <c r="Q37" s="62"/>
      <c r="R37" s="62"/>
      <c r="S37" s="62"/>
      <c r="T37" s="45" t="str">
        <f aca="false">(IF(W37="","◄",""))</f>
        <v>◄</v>
      </c>
      <c r="U37" s="72" t="n">
        <v>0.05</v>
      </c>
      <c r="V37" s="73" t="n">
        <f aca="false">(IF(R37&lt;&gt;"",1/2,0)+IF(S37&lt;&gt;"",1,0))*U37*U$33*20</f>
        <v>0</v>
      </c>
      <c r="W37" s="48" t="str">
        <f aca="false">IF(COUNTBLANK(P37:S37)=3,1,"")</f>
        <v/>
      </c>
      <c r="X37" s="74" t="n">
        <f aca="false">IF(P37="",U37,0)</f>
        <v>0.05</v>
      </c>
      <c r="Y37" s="79" t="n">
        <f aca="false">IF(X37=0,0,U37/SUM(X$34:X$41))</f>
        <v>0.05</v>
      </c>
      <c r="Z37" s="88"/>
      <c r="AA37" s="62"/>
      <c r="AB37" s="62"/>
      <c r="AC37" s="62"/>
      <c r="AD37" s="45" t="str">
        <f aca="false">(IF(AG37="","◄",""))</f>
        <v>◄</v>
      </c>
      <c r="AE37" s="72" t="n">
        <v>0.05</v>
      </c>
      <c r="AF37" s="73" t="n">
        <f aca="false">(IF(AB37&lt;&gt;"",1/2,0)+IF(AC37&lt;&gt;"",1,0))*AE37*AE$33*20</f>
        <v>0</v>
      </c>
      <c r="AG37" s="48" t="str">
        <f aca="false">IF(COUNTBLANK(Z37:AC37)=3,1,"")</f>
        <v/>
      </c>
      <c r="AH37" s="74" t="n">
        <f aca="false">IF(Z37="",AE37,0)</f>
        <v>0.05</v>
      </c>
      <c r="AI37" s="79" t="n">
        <f aca="false">IF(AH37=0,0,AE37/SUM(AH$34:AH$41))</f>
        <v>0.05</v>
      </c>
      <c r="AJ37" s="88"/>
      <c r="AK37" s="62"/>
      <c r="AL37" s="62"/>
      <c r="AM37" s="62"/>
      <c r="AN37" s="45" t="str">
        <f aca="false">(IF(AQ37="","◄",""))</f>
        <v>◄</v>
      </c>
      <c r="AO37" s="72" t="n">
        <v>0.05</v>
      </c>
      <c r="AP37" s="73" t="n">
        <f aca="false">(IF(AL37&lt;&gt;"",1/2,0)+IF(AM37&lt;&gt;"",1,0))*AO37*AO$33*20</f>
        <v>0</v>
      </c>
      <c r="AQ37" s="48" t="str">
        <f aca="false">IF(COUNTBLANK(AJ37:AM37)=3,1,"")</f>
        <v/>
      </c>
      <c r="AR37" s="74" t="n">
        <f aca="false">IF(AJ37="",AO37,0)</f>
        <v>0.05</v>
      </c>
      <c r="AS37" s="79" t="n">
        <f aca="false">IF(AR37=0,0,AO37/SUM(AR$34:AR$41))</f>
        <v>0.05</v>
      </c>
      <c r="AT37" s="88"/>
      <c r="AU37" s="62"/>
      <c r="AV37" s="62"/>
      <c r="AW37" s="62"/>
      <c r="AX37" s="45" t="str">
        <f aca="false">(IF(BA37="","◄",""))</f>
        <v>◄</v>
      </c>
      <c r="AY37" s="72" t="n">
        <v>0.05</v>
      </c>
      <c r="AZ37" s="73" t="n">
        <f aca="false">(IF(AV37&lt;&gt;"",1/2,0)+IF(AW37&lt;&gt;"",1,0))*AY37*AY$33*20</f>
        <v>0</v>
      </c>
      <c r="BA37" s="48" t="str">
        <f aca="false">IF(COUNTBLANK(AT37:AW37)=3,1,"")</f>
        <v/>
      </c>
      <c r="BB37" s="74" t="n">
        <f aca="false">IF(AT37="",AY37,0)</f>
        <v>0.05</v>
      </c>
      <c r="BC37" s="79" t="n">
        <f aca="false">IF(BB37=0,0,AY37/SUM(BB$34:BB$41))</f>
        <v>0.05</v>
      </c>
      <c r="BD37" s="88"/>
      <c r="BE37" s="62"/>
      <c r="BF37" s="62"/>
      <c r="BG37" s="62"/>
      <c r="BH37" s="45" t="str">
        <f aca="false">(IF(BK37="","◄",""))</f>
        <v>◄</v>
      </c>
      <c r="BI37" s="72" t="n">
        <v>0.05</v>
      </c>
      <c r="BJ37" s="73" t="n">
        <f aca="false">(IF(BF37&lt;&gt;"",1/2,0)+IF(BG37&lt;&gt;"",1,0))*BI37*BI$33*20</f>
        <v>0</v>
      </c>
      <c r="BK37" s="48" t="str">
        <f aca="false">IF(COUNTBLANK(BD37:BG37)=3,1,"")</f>
        <v/>
      </c>
      <c r="BL37" s="74" t="n">
        <f aca="false">IF(BD37="",BI37,0)</f>
        <v>0.05</v>
      </c>
      <c r="BM37" s="79" t="n">
        <f aca="false">IF(BL37=0,0,BI37/SUM(BL$34:BL$41))</f>
        <v>0.05</v>
      </c>
      <c r="BN37" s="88"/>
      <c r="BO37" s="62"/>
      <c r="BP37" s="62"/>
      <c r="BQ37" s="62"/>
      <c r="BR37" s="45" t="str">
        <f aca="false">(IF(BU37="","◄",""))</f>
        <v>◄</v>
      </c>
      <c r="BS37" s="72" t="n">
        <v>0.05</v>
      </c>
      <c r="BT37" s="73" t="n">
        <f aca="false">(IF(BP37&lt;&gt;"",1/2,0)+IF(BQ37&lt;&gt;"",1,0))*BS37*BS$33*20</f>
        <v>0</v>
      </c>
      <c r="BU37" s="48" t="str">
        <f aca="false">IF(COUNTBLANK(BN37:BQ37)=3,1,"")</f>
        <v/>
      </c>
      <c r="BV37" s="74" t="n">
        <f aca="false">IF(BN37="",BS37,0)</f>
        <v>0.05</v>
      </c>
      <c r="BW37" s="79" t="n">
        <f aca="false">IF(BV37=0,0,BS37/SUM(BV$34:BV$41))</f>
        <v>0.05</v>
      </c>
      <c r="BX37" s="88"/>
      <c r="BY37" s="62"/>
      <c r="BZ37" s="62"/>
      <c r="CA37" s="62"/>
      <c r="CB37" s="45" t="str">
        <f aca="false">(IF(CE37="","◄",""))</f>
        <v>◄</v>
      </c>
      <c r="CC37" s="72" t="n">
        <v>0.05</v>
      </c>
      <c r="CD37" s="73" t="n">
        <f aca="false">(IF(BZ37&lt;&gt;"",1/2,0)+IF(CA37&lt;&gt;"",1,0))*CC37*CC$33*20</f>
        <v>0</v>
      </c>
      <c r="CE37" s="48" t="str">
        <f aca="false">IF(COUNTBLANK(BX37:CA37)=3,1,"")</f>
        <v/>
      </c>
      <c r="CF37" s="74" t="n">
        <f aca="false">IF(BX37="",CC37,0)</f>
        <v>0.05</v>
      </c>
      <c r="CG37" s="79" t="n">
        <f aca="false">IF(CF37=0,0,CC37/SUM(CF$34:CF$41))</f>
        <v>0.05</v>
      </c>
      <c r="CH37" s="88"/>
      <c r="CI37" s="62"/>
      <c r="CJ37" s="62"/>
      <c r="CK37" s="62"/>
      <c r="CL37" s="45" t="str">
        <f aca="false">(IF(CO37="","◄",""))</f>
        <v>◄</v>
      </c>
      <c r="CM37" s="72" t="n">
        <v>0.05</v>
      </c>
      <c r="CN37" s="73" t="n">
        <f aca="false">(IF(CJ37&lt;&gt;"",1/2,0)+IF(CK37&lt;&gt;"",1,0))*CM37*CM$33*20</f>
        <v>0</v>
      </c>
      <c r="CO37" s="48" t="str">
        <f aca="false">IF(COUNTBLANK(CH37:CK37)=3,1,"")</f>
        <v/>
      </c>
      <c r="CP37" s="74" t="n">
        <f aca="false">IF(CH37="",CM37,0)</f>
        <v>0.05</v>
      </c>
      <c r="CQ37" s="79" t="n">
        <f aca="false">IF(CP37=0,0,CM37/SUM(CP$34:CP$41))</f>
        <v>0.05</v>
      </c>
      <c r="CR37" s="88"/>
      <c r="CS37" s="62"/>
      <c r="CT37" s="62"/>
      <c r="CU37" s="62"/>
      <c r="CV37" s="45" t="str">
        <f aca="false">(IF(CY37="","◄",""))</f>
        <v>◄</v>
      </c>
      <c r="CW37" s="72" t="n">
        <v>0.05</v>
      </c>
      <c r="CX37" s="73" t="n">
        <f aca="false">(IF(CT37&lt;&gt;"",1/2,0)+IF(CU37&lt;&gt;"",1,0))*CW37*CW$33*20</f>
        <v>0</v>
      </c>
      <c r="CY37" s="48" t="str">
        <f aca="false">IF(COUNTBLANK(CR37:CU37)=3,1,"")</f>
        <v/>
      </c>
      <c r="CZ37" s="74" t="n">
        <f aca="false">IF(CR37="",CW37,0)</f>
        <v>0.05</v>
      </c>
      <c r="DA37" s="79" t="n">
        <f aca="false">IF(CZ37=0,0,CW37/SUM(CZ$34:CZ$41))</f>
        <v>0.05</v>
      </c>
      <c r="DB37" s="88"/>
      <c r="DC37" s="62"/>
      <c r="DD37" s="62"/>
      <c r="DE37" s="62"/>
      <c r="DF37" s="45" t="str">
        <f aca="false">(IF(DI37="","◄",""))</f>
        <v>◄</v>
      </c>
      <c r="DG37" s="72" t="n">
        <v>0.05</v>
      </c>
      <c r="DH37" s="73" t="n">
        <f aca="false">(IF(DD37&lt;&gt;"",1/2,0)+IF(DE37&lt;&gt;"",1,0))*DG37*DG$33*20</f>
        <v>0</v>
      </c>
      <c r="DI37" s="48" t="str">
        <f aca="false">IF(COUNTBLANK(DB37:DE37)=3,1,"")</f>
        <v/>
      </c>
      <c r="DJ37" s="74" t="n">
        <f aca="false">IF(DB37="",DG37,0)</f>
        <v>0.05</v>
      </c>
      <c r="DK37" s="79" t="n">
        <f aca="false">IF(DJ37=0,0,DG37/SUM(DJ$34:DJ$41))</f>
        <v>0.05</v>
      </c>
      <c r="DL37" s="88"/>
      <c r="DM37" s="62"/>
      <c r="DN37" s="62"/>
      <c r="DO37" s="62"/>
      <c r="DP37" s="45" t="str">
        <f aca="false">(IF(DS37="","◄",""))</f>
        <v>◄</v>
      </c>
      <c r="DQ37" s="72" t="n">
        <v>0.05</v>
      </c>
      <c r="DR37" s="73" t="n">
        <f aca="false">(IF(DN37&lt;&gt;"",1/2,0)+IF(DO37&lt;&gt;"",1,0))*DQ37*DQ$33*20</f>
        <v>0</v>
      </c>
      <c r="DS37" s="48" t="str">
        <f aca="false">IF(COUNTBLANK(DL37:DO37)=3,1,"")</f>
        <v/>
      </c>
      <c r="DT37" s="74" t="n">
        <f aca="false">IF(DL37="",DQ37,0)</f>
        <v>0.05</v>
      </c>
      <c r="DU37" s="79" t="n">
        <f aca="false">IF(DT37=0,0,DQ37/SUM(DT$34:DT$41))</f>
        <v>0.05</v>
      </c>
      <c r="DV37" s="88"/>
      <c r="DW37" s="62"/>
      <c r="DX37" s="62"/>
      <c r="DY37" s="62"/>
      <c r="DZ37" s="45" t="str">
        <f aca="false">(IF(EC37="","◄",""))</f>
        <v>◄</v>
      </c>
      <c r="EA37" s="72" t="n">
        <v>0.05</v>
      </c>
      <c r="EB37" s="73" t="n">
        <f aca="false">(IF(DX37&lt;&gt;"",1/2,0)+IF(DY37&lt;&gt;"",1,0))*EA37*EA$33*20</f>
        <v>0</v>
      </c>
      <c r="EC37" s="48" t="str">
        <f aca="false">IF(COUNTBLANK(DV37:DY37)=3,1,"")</f>
        <v/>
      </c>
      <c r="ED37" s="74" t="n">
        <f aca="false">IF(DV37="",EA37,0)</f>
        <v>0.05</v>
      </c>
      <c r="EE37" s="79" t="n">
        <f aca="false">IF(ED37=0,0,EA37/SUM(ED$34:ED$41))</f>
        <v>0.05</v>
      </c>
      <c r="EF37" s="88"/>
      <c r="EG37" s="62"/>
      <c r="EH37" s="62"/>
      <c r="EI37" s="62"/>
      <c r="EJ37" s="45" t="str">
        <f aca="false">(IF(EM37="","◄",""))</f>
        <v>◄</v>
      </c>
      <c r="EK37" s="72" t="n">
        <v>0.05</v>
      </c>
      <c r="EL37" s="73" t="n">
        <f aca="false">(IF(EH37&lt;&gt;"",1/2,0)+IF(EI37&lt;&gt;"",1,0))*EK37*EK$33*20</f>
        <v>0</v>
      </c>
      <c r="EM37" s="48" t="str">
        <f aca="false">IF(COUNTBLANK(EF37:EI37)=3,1,"")</f>
        <v/>
      </c>
      <c r="EN37" s="74" t="n">
        <f aca="false">IF(EF37="",EK37,0)</f>
        <v>0.05</v>
      </c>
      <c r="EO37" s="79" t="n">
        <f aca="false">IF(EN37=0,0,EK37/SUM(EN$34:EN$41))</f>
        <v>0.05</v>
      </c>
      <c r="EP37" s="88"/>
      <c r="EQ37" s="62"/>
      <c r="ER37" s="62"/>
      <c r="ES37" s="62"/>
      <c r="ET37" s="45" t="str">
        <f aca="false">(IF(EW37="","◄",""))</f>
        <v>◄</v>
      </c>
      <c r="EU37" s="72" t="n">
        <v>0.05</v>
      </c>
      <c r="EV37" s="73" t="n">
        <f aca="false">(IF(ER37&lt;&gt;"",1/2,0)+IF(ES37&lt;&gt;"",1,0))*EU37*EU$33*20</f>
        <v>0</v>
      </c>
      <c r="EW37" s="48" t="str">
        <f aca="false">IF(COUNTBLANK(EP37:ES37)=3,1,"")</f>
        <v/>
      </c>
      <c r="EX37" s="74" t="n">
        <f aca="false">IF(EP37="",EU37,0)</f>
        <v>0.05</v>
      </c>
      <c r="EY37" s="79" t="n">
        <f aca="false">IF(EX37=0,0,EU37/SUM(EX$34:EX$41))</f>
        <v>0.05</v>
      </c>
      <c r="EZ37" s="88"/>
      <c r="FA37" s="62"/>
      <c r="FB37" s="62"/>
      <c r="FC37" s="62"/>
      <c r="FD37" s="45" t="str">
        <f aca="false">(IF(FG37="","◄",""))</f>
        <v>◄</v>
      </c>
      <c r="FE37" s="72" t="n">
        <v>0.05</v>
      </c>
      <c r="FF37" s="73" t="n">
        <f aca="false">(IF(FB37&lt;&gt;"",1/2,0)+IF(FC37&lt;&gt;"",1,0))*FE37*FE$33*20</f>
        <v>0</v>
      </c>
      <c r="FG37" s="48" t="str">
        <f aca="false">IF(COUNTBLANK(EZ37:FC37)=3,1,"")</f>
        <v/>
      </c>
      <c r="FH37" s="74" t="n">
        <f aca="false">IF(EZ37="",FE37,0)</f>
        <v>0.05</v>
      </c>
      <c r="FI37" s="79" t="n">
        <f aca="false">IF(FH37=0,0,FE37/SUM(FH$34:FH$41))</f>
        <v>0.05</v>
      </c>
      <c r="FJ37" s="88"/>
      <c r="FK37" s="62"/>
      <c r="FL37" s="62"/>
      <c r="FM37" s="62"/>
      <c r="FN37" s="45" t="str">
        <f aca="false">(IF(FQ37="","◄",""))</f>
        <v>◄</v>
      </c>
      <c r="FO37" s="72" t="n">
        <v>0.05</v>
      </c>
      <c r="FP37" s="73" t="n">
        <f aca="false">(IF(FL37&lt;&gt;"",1/2,0)+IF(FM37&lt;&gt;"",1,0))*FO37*FO$33*20</f>
        <v>0</v>
      </c>
      <c r="FQ37" s="48" t="str">
        <f aca="false">IF(COUNTBLANK(FJ37:FM37)=3,1,"")</f>
        <v/>
      </c>
      <c r="FR37" s="74" t="n">
        <f aca="false">IF(FJ37="",FO37,0)</f>
        <v>0.05</v>
      </c>
      <c r="FS37" s="79" t="n">
        <f aca="false">IF(FR37=0,0,FO37/SUM(FR$34:FR$41))</f>
        <v>0.05</v>
      </c>
      <c r="FT37" s="88"/>
      <c r="FU37" s="62"/>
      <c r="FV37" s="62"/>
      <c r="FW37" s="62"/>
      <c r="FX37" s="45" t="str">
        <f aca="false">(IF(GA37="","◄",""))</f>
        <v>◄</v>
      </c>
      <c r="FY37" s="72" t="n">
        <v>0.05</v>
      </c>
      <c r="FZ37" s="73" t="n">
        <f aca="false">(IF(FV37&lt;&gt;"",1/2,0)+IF(FW37&lt;&gt;"",1,0))*FY37*FY$33*20</f>
        <v>0</v>
      </c>
      <c r="GA37" s="48" t="str">
        <f aca="false">IF(COUNTBLANK(FT37:FW37)=3,1,"")</f>
        <v/>
      </c>
      <c r="GB37" s="74" t="n">
        <f aca="false">IF(FT37="",FY37,0)</f>
        <v>0.05</v>
      </c>
      <c r="GC37" s="79" t="n">
        <f aca="false">IF(GB37=0,0,FY37/SUM(GB$34:GB$41))</f>
        <v>0.05</v>
      </c>
      <c r="GD37" s="88"/>
      <c r="GE37" s="62"/>
      <c r="GF37" s="62"/>
      <c r="GG37" s="62"/>
      <c r="GH37" s="45" t="str">
        <f aca="false">(IF(GK37="","◄",""))</f>
        <v>◄</v>
      </c>
      <c r="GI37" s="72" t="n">
        <v>0.05</v>
      </c>
      <c r="GJ37" s="73" t="n">
        <f aca="false">(IF(GF37&lt;&gt;"",1/2,0)+IF(GG37&lt;&gt;"",1,0))*GI37*GI$33*20</f>
        <v>0</v>
      </c>
      <c r="GK37" s="48" t="str">
        <f aca="false">IF(COUNTBLANK(GD37:GG37)=3,1,"")</f>
        <v/>
      </c>
      <c r="GL37" s="74" t="n">
        <f aca="false">IF(GD37="",GI37,0)</f>
        <v>0.05</v>
      </c>
      <c r="GM37" s="79" t="n">
        <f aca="false">IF(GL37=0,0,GI37/SUM(GL$34:GL$41))</f>
        <v>0.05</v>
      </c>
      <c r="GN37" s="88"/>
      <c r="GO37" s="62"/>
      <c r="GP37" s="62"/>
      <c r="GQ37" s="62"/>
      <c r="GR37" s="45" t="str">
        <f aca="false">(IF(GU37="","◄",""))</f>
        <v>◄</v>
      </c>
      <c r="GS37" s="72" t="n">
        <v>0.05</v>
      </c>
      <c r="GT37" s="73" t="n">
        <f aca="false">(IF(GP37&lt;&gt;"",1/2,0)+IF(GQ37&lt;&gt;"",1,0))*GS37*GS$33*20</f>
        <v>0</v>
      </c>
      <c r="GU37" s="48" t="str">
        <f aca="false">IF(COUNTBLANK(GN37:GQ37)=3,1,"")</f>
        <v/>
      </c>
      <c r="GV37" s="74" t="n">
        <f aca="false">IF(GN37="",GS37,0)</f>
        <v>0.05</v>
      </c>
      <c r="GW37" s="79" t="n">
        <f aca="false">IF(GV37=0,0,GS37/SUM(GV$34:GV$41))</f>
        <v>0.05</v>
      </c>
      <c r="GX37" s="88"/>
      <c r="GY37" s="62"/>
      <c r="GZ37" s="62"/>
      <c r="HA37" s="62"/>
      <c r="HB37" s="45" t="str">
        <f aca="false">(IF(HE37="","◄",""))</f>
        <v>◄</v>
      </c>
      <c r="HC37" s="72" t="n">
        <v>0.05</v>
      </c>
      <c r="HD37" s="73" t="n">
        <f aca="false">(IF(GZ37&lt;&gt;"",1/2,0)+IF(HA37&lt;&gt;"",1,0))*HC37*HC$33*20</f>
        <v>0</v>
      </c>
      <c r="HE37" s="48" t="str">
        <f aca="false">IF(COUNTBLANK(GX37:HA37)=3,1,"")</f>
        <v/>
      </c>
      <c r="HF37" s="74" t="n">
        <f aca="false">IF(GX37="",HC37,0)</f>
        <v>0.05</v>
      </c>
      <c r="HG37" s="79" t="n">
        <f aca="false">IF(HF37=0,0,HC37/SUM(HF$34:HF$41))</f>
        <v>0.05</v>
      </c>
      <c r="HH37" s="88"/>
      <c r="HI37" s="62"/>
      <c r="HJ37" s="62"/>
      <c r="HK37" s="62"/>
      <c r="HL37" s="45" t="str">
        <f aca="false">(IF(HO37="","◄",""))</f>
        <v>◄</v>
      </c>
      <c r="HM37" s="72" t="n">
        <v>0.05</v>
      </c>
      <c r="HN37" s="73" t="n">
        <f aca="false">(IF(HJ37&lt;&gt;"",1/2,0)+IF(HK37&lt;&gt;"",1,0))*HM37*HM$33*20</f>
        <v>0</v>
      </c>
      <c r="HO37" s="48" t="str">
        <f aca="false">IF(COUNTBLANK(HH37:HK37)=3,1,"")</f>
        <v/>
      </c>
      <c r="HP37" s="74" t="n">
        <f aca="false">IF(HH37="",HM37,0)</f>
        <v>0.05</v>
      </c>
      <c r="HQ37" s="79" t="n">
        <f aca="false">IF(HP37=0,0,HM37/SUM(HP$34:HP$41))</f>
        <v>0.05</v>
      </c>
      <c r="HR37" s="88"/>
      <c r="HS37" s="62"/>
      <c r="HT37" s="62"/>
      <c r="HU37" s="62"/>
      <c r="HV37" s="45" t="str">
        <f aca="false">(IF(HY37="","◄",""))</f>
        <v>◄</v>
      </c>
      <c r="HW37" s="72" t="n">
        <v>0.05</v>
      </c>
      <c r="HX37" s="73" t="n">
        <f aca="false">(IF(HT37&lt;&gt;"",1/2,0)+IF(HU37&lt;&gt;"",1,0))*HW37*HW$33*20</f>
        <v>0</v>
      </c>
      <c r="HY37" s="48" t="str">
        <f aca="false">IF(COUNTBLANK(HR37:HU37)=3,1,"")</f>
        <v/>
      </c>
      <c r="HZ37" s="74" t="n">
        <f aca="false">IF(HR37="",HW37,0)</f>
        <v>0.05</v>
      </c>
      <c r="IA37" s="79" t="n">
        <f aca="false">IF(HZ37=0,0,HW37/SUM(HZ$34:HZ$41))</f>
        <v>0.05</v>
      </c>
      <c r="IB37" s="88"/>
      <c r="IC37" s="62"/>
      <c r="ID37" s="62"/>
      <c r="IE37" s="62"/>
      <c r="IF37" s="45" t="str">
        <f aca="false">(IF(II37="","◄",""))</f>
        <v>◄</v>
      </c>
      <c r="IG37" s="72" t="n">
        <v>0.05</v>
      </c>
      <c r="IH37" s="73" t="n">
        <f aca="false">(IF(ID37&lt;&gt;"",1/2,0)+IF(IE37&lt;&gt;"",1,0))*IG37*IG$33*20</f>
        <v>0</v>
      </c>
      <c r="II37" s="48" t="str">
        <f aca="false">IF(COUNTBLANK(IB37:IE37)=3,1,"")</f>
        <v/>
      </c>
      <c r="IJ37" s="74" t="n">
        <f aca="false">IF(IB37="",IG37,0)</f>
        <v>0.05</v>
      </c>
      <c r="IK37" s="79" t="n">
        <f aca="false">IF(IJ37=0,0,IG37/SUM(IJ$34:IJ$41))</f>
        <v>0.05</v>
      </c>
    </row>
    <row r="38" customFormat="false" ht="49.5" hidden="false" customHeight="true" outlineLevel="0" collapsed="false">
      <c r="A38" s="83"/>
      <c r="B38" s="81"/>
      <c r="C38" s="89"/>
      <c r="D38" s="52"/>
      <c r="E38" s="53" t="s">
        <v>90</v>
      </c>
      <c r="F38" s="88"/>
      <c r="G38" s="62"/>
      <c r="H38" s="62"/>
      <c r="I38" s="62"/>
      <c r="J38" s="45" t="str">
        <f aca="false">(IF(M38="","◄",""))</f>
        <v>◄</v>
      </c>
      <c r="K38" s="72" t="n">
        <v>0.05</v>
      </c>
      <c r="L38" s="73" t="n">
        <f aca="false">(IF(H38&lt;&gt;"",1/2,0)+IF(I38&lt;&gt;"",1,0))*K38*K$33*20</f>
        <v>0</v>
      </c>
      <c r="M38" s="48" t="str">
        <f aca="false">IF(COUNTBLANK(F38:I38)=3,1,"")</f>
        <v/>
      </c>
      <c r="N38" s="74" t="n">
        <f aca="false">IF(F38="",K38,0)</f>
        <v>0.05</v>
      </c>
      <c r="O38" s="79" t="n">
        <f aca="false">IF(N38=0,0,K38/SUM(N$34:N$41))</f>
        <v>0.05</v>
      </c>
      <c r="P38" s="88"/>
      <c r="Q38" s="62"/>
      <c r="R38" s="62"/>
      <c r="S38" s="62"/>
      <c r="T38" s="45" t="str">
        <f aca="false">(IF(W38="","◄",""))</f>
        <v>◄</v>
      </c>
      <c r="U38" s="72" t="n">
        <v>0.05</v>
      </c>
      <c r="V38" s="73" t="n">
        <f aca="false">(IF(R38&lt;&gt;"",1/2,0)+IF(S38&lt;&gt;"",1,0))*U38*U$33*20</f>
        <v>0</v>
      </c>
      <c r="W38" s="48" t="str">
        <f aca="false">IF(COUNTBLANK(P38:S38)=3,1,"")</f>
        <v/>
      </c>
      <c r="X38" s="74" t="n">
        <f aca="false">IF(P38="",U38,0)</f>
        <v>0.05</v>
      </c>
      <c r="Y38" s="79" t="n">
        <f aca="false">IF(X38=0,0,U38/SUM(X$34:X$41))</f>
        <v>0.05</v>
      </c>
      <c r="Z38" s="88"/>
      <c r="AA38" s="62"/>
      <c r="AB38" s="62"/>
      <c r="AC38" s="62"/>
      <c r="AD38" s="45" t="str">
        <f aca="false">(IF(AG38="","◄",""))</f>
        <v>◄</v>
      </c>
      <c r="AE38" s="72" t="n">
        <v>0.05</v>
      </c>
      <c r="AF38" s="73" t="n">
        <f aca="false">(IF(AB38&lt;&gt;"",1/2,0)+IF(AC38&lt;&gt;"",1,0))*AE38*AE$33*20</f>
        <v>0</v>
      </c>
      <c r="AG38" s="48" t="str">
        <f aca="false">IF(COUNTBLANK(Z38:AC38)=3,1,"")</f>
        <v/>
      </c>
      <c r="AH38" s="74" t="n">
        <f aca="false">IF(Z38="",AE38,0)</f>
        <v>0.05</v>
      </c>
      <c r="AI38" s="79" t="n">
        <f aca="false">IF(AH38=0,0,AE38/SUM(AH$34:AH$41))</f>
        <v>0.05</v>
      </c>
      <c r="AJ38" s="88"/>
      <c r="AK38" s="62"/>
      <c r="AL38" s="62"/>
      <c r="AM38" s="62"/>
      <c r="AN38" s="45" t="str">
        <f aca="false">(IF(AQ38="","◄",""))</f>
        <v>◄</v>
      </c>
      <c r="AO38" s="72" t="n">
        <v>0.05</v>
      </c>
      <c r="AP38" s="73" t="n">
        <f aca="false">(IF(AL38&lt;&gt;"",1/2,0)+IF(AM38&lt;&gt;"",1,0))*AO38*AO$33*20</f>
        <v>0</v>
      </c>
      <c r="AQ38" s="48" t="str">
        <f aca="false">IF(COUNTBLANK(AJ38:AM38)=3,1,"")</f>
        <v/>
      </c>
      <c r="AR38" s="74" t="n">
        <f aca="false">IF(AJ38="",AO38,0)</f>
        <v>0.05</v>
      </c>
      <c r="AS38" s="79" t="n">
        <f aca="false">IF(AR38=0,0,AO38/SUM(AR$34:AR$41))</f>
        <v>0.05</v>
      </c>
      <c r="AT38" s="88"/>
      <c r="AU38" s="62"/>
      <c r="AV38" s="62"/>
      <c r="AW38" s="62"/>
      <c r="AX38" s="45" t="str">
        <f aca="false">(IF(BA38="","◄",""))</f>
        <v>◄</v>
      </c>
      <c r="AY38" s="72" t="n">
        <v>0.05</v>
      </c>
      <c r="AZ38" s="73" t="n">
        <f aca="false">(IF(AV38&lt;&gt;"",1/2,0)+IF(AW38&lt;&gt;"",1,0))*AY38*AY$33*20</f>
        <v>0</v>
      </c>
      <c r="BA38" s="48" t="str">
        <f aca="false">IF(COUNTBLANK(AT38:AW38)=3,1,"")</f>
        <v/>
      </c>
      <c r="BB38" s="74" t="n">
        <f aca="false">IF(AT38="",AY38,0)</f>
        <v>0.05</v>
      </c>
      <c r="BC38" s="79" t="n">
        <f aca="false">IF(BB38=0,0,AY38/SUM(BB$34:BB$41))</f>
        <v>0.05</v>
      </c>
      <c r="BD38" s="88"/>
      <c r="BE38" s="62"/>
      <c r="BF38" s="62"/>
      <c r="BG38" s="62"/>
      <c r="BH38" s="45" t="str">
        <f aca="false">(IF(BK38="","◄",""))</f>
        <v>◄</v>
      </c>
      <c r="BI38" s="72" t="n">
        <v>0.05</v>
      </c>
      <c r="BJ38" s="73" t="n">
        <f aca="false">(IF(BF38&lt;&gt;"",1/2,0)+IF(BG38&lt;&gt;"",1,0))*BI38*BI$33*20</f>
        <v>0</v>
      </c>
      <c r="BK38" s="48" t="str">
        <f aca="false">IF(COUNTBLANK(BD38:BG38)=3,1,"")</f>
        <v/>
      </c>
      <c r="BL38" s="74" t="n">
        <f aca="false">IF(BD38="",BI38,0)</f>
        <v>0.05</v>
      </c>
      <c r="BM38" s="79" t="n">
        <f aca="false">IF(BL38=0,0,BI38/SUM(BL$34:BL$41))</f>
        <v>0.05</v>
      </c>
      <c r="BN38" s="88"/>
      <c r="BO38" s="62"/>
      <c r="BP38" s="62"/>
      <c r="BQ38" s="62"/>
      <c r="BR38" s="45" t="str">
        <f aca="false">(IF(BU38="","◄",""))</f>
        <v>◄</v>
      </c>
      <c r="BS38" s="72" t="n">
        <v>0.05</v>
      </c>
      <c r="BT38" s="73" t="n">
        <f aca="false">(IF(BP38&lt;&gt;"",1/2,0)+IF(BQ38&lt;&gt;"",1,0))*BS38*BS$33*20</f>
        <v>0</v>
      </c>
      <c r="BU38" s="48" t="str">
        <f aca="false">IF(COUNTBLANK(BN38:BQ38)=3,1,"")</f>
        <v/>
      </c>
      <c r="BV38" s="74" t="n">
        <f aca="false">IF(BN38="",BS38,0)</f>
        <v>0.05</v>
      </c>
      <c r="BW38" s="79" t="n">
        <f aca="false">IF(BV38=0,0,BS38/SUM(BV$34:BV$41))</f>
        <v>0.05</v>
      </c>
      <c r="BX38" s="88"/>
      <c r="BY38" s="62"/>
      <c r="BZ38" s="62"/>
      <c r="CA38" s="62"/>
      <c r="CB38" s="45" t="str">
        <f aca="false">(IF(CE38="","◄",""))</f>
        <v>◄</v>
      </c>
      <c r="CC38" s="72" t="n">
        <v>0.05</v>
      </c>
      <c r="CD38" s="73" t="n">
        <f aca="false">(IF(BZ38&lt;&gt;"",1/2,0)+IF(CA38&lt;&gt;"",1,0))*CC38*CC$33*20</f>
        <v>0</v>
      </c>
      <c r="CE38" s="48" t="str">
        <f aca="false">IF(COUNTBLANK(BX38:CA38)=3,1,"")</f>
        <v/>
      </c>
      <c r="CF38" s="74" t="n">
        <f aca="false">IF(BX38="",CC38,0)</f>
        <v>0.05</v>
      </c>
      <c r="CG38" s="79" t="n">
        <f aca="false">IF(CF38=0,0,CC38/SUM(CF$34:CF$41))</f>
        <v>0.05</v>
      </c>
      <c r="CH38" s="88"/>
      <c r="CI38" s="62"/>
      <c r="CJ38" s="62"/>
      <c r="CK38" s="62"/>
      <c r="CL38" s="45" t="str">
        <f aca="false">(IF(CO38="","◄",""))</f>
        <v>◄</v>
      </c>
      <c r="CM38" s="72" t="n">
        <v>0.05</v>
      </c>
      <c r="CN38" s="73" t="n">
        <f aca="false">(IF(CJ38&lt;&gt;"",1/2,0)+IF(CK38&lt;&gt;"",1,0))*CM38*CM$33*20</f>
        <v>0</v>
      </c>
      <c r="CO38" s="48" t="str">
        <f aca="false">IF(COUNTBLANK(CH38:CK38)=3,1,"")</f>
        <v/>
      </c>
      <c r="CP38" s="74" t="n">
        <f aca="false">IF(CH38="",CM38,0)</f>
        <v>0.05</v>
      </c>
      <c r="CQ38" s="79" t="n">
        <f aca="false">IF(CP38=0,0,CM38/SUM(CP$34:CP$41))</f>
        <v>0.05</v>
      </c>
      <c r="CR38" s="88"/>
      <c r="CS38" s="62"/>
      <c r="CT38" s="62"/>
      <c r="CU38" s="62"/>
      <c r="CV38" s="45" t="str">
        <f aca="false">(IF(CY38="","◄",""))</f>
        <v>◄</v>
      </c>
      <c r="CW38" s="72" t="n">
        <v>0.05</v>
      </c>
      <c r="CX38" s="73" t="n">
        <f aca="false">(IF(CT38&lt;&gt;"",1/2,0)+IF(CU38&lt;&gt;"",1,0))*CW38*CW$33*20</f>
        <v>0</v>
      </c>
      <c r="CY38" s="48" t="str">
        <f aca="false">IF(COUNTBLANK(CR38:CU38)=3,1,"")</f>
        <v/>
      </c>
      <c r="CZ38" s="74" t="n">
        <f aca="false">IF(CR38="",CW38,0)</f>
        <v>0.05</v>
      </c>
      <c r="DA38" s="79" t="n">
        <f aca="false">IF(CZ38=0,0,CW38/SUM(CZ$34:CZ$41))</f>
        <v>0.05</v>
      </c>
      <c r="DB38" s="88"/>
      <c r="DC38" s="62"/>
      <c r="DD38" s="62"/>
      <c r="DE38" s="62"/>
      <c r="DF38" s="45" t="str">
        <f aca="false">(IF(DI38="","◄",""))</f>
        <v>◄</v>
      </c>
      <c r="DG38" s="72" t="n">
        <v>0.05</v>
      </c>
      <c r="DH38" s="73" t="n">
        <f aca="false">(IF(DD38&lt;&gt;"",1/2,0)+IF(DE38&lt;&gt;"",1,0))*DG38*DG$33*20</f>
        <v>0</v>
      </c>
      <c r="DI38" s="48" t="str">
        <f aca="false">IF(COUNTBLANK(DB38:DE38)=3,1,"")</f>
        <v/>
      </c>
      <c r="DJ38" s="74" t="n">
        <f aca="false">IF(DB38="",DG38,0)</f>
        <v>0.05</v>
      </c>
      <c r="DK38" s="79" t="n">
        <f aca="false">IF(DJ38=0,0,DG38/SUM(DJ$34:DJ$41))</f>
        <v>0.05</v>
      </c>
      <c r="DL38" s="88"/>
      <c r="DM38" s="62"/>
      <c r="DN38" s="62"/>
      <c r="DO38" s="62"/>
      <c r="DP38" s="45" t="str">
        <f aca="false">(IF(DS38="","◄",""))</f>
        <v>◄</v>
      </c>
      <c r="DQ38" s="72" t="n">
        <v>0.05</v>
      </c>
      <c r="DR38" s="73" t="n">
        <f aca="false">(IF(DN38&lt;&gt;"",1/2,0)+IF(DO38&lt;&gt;"",1,0))*DQ38*DQ$33*20</f>
        <v>0</v>
      </c>
      <c r="DS38" s="48" t="str">
        <f aca="false">IF(COUNTBLANK(DL38:DO38)=3,1,"")</f>
        <v/>
      </c>
      <c r="DT38" s="74" t="n">
        <f aca="false">IF(DL38="",DQ38,0)</f>
        <v>0.05</v>
      </c>
      <c r="DU38" s="79" t="n">
        <f aca="false">IF(DT38=0,0,DQ38/SUM(DT$34:DT$41))</f>
        <v>0.05</v>
      </c>
      <c r="DV38" s="88"/>
      <c r="DW38" s="62"/>
      <c r="DX38" s="62"/>
      <c r="DY38" s="62"/>
      <c r="DZ38" s="45" t="str">
        <f aca="false">(IF(EC38="","◄",""))</f>
        <v>◄</v>
      </c>
      <c r="EA38" s="72" t="n">
        <v>0.05</v>
      </c>
      <c r="EB38" s="73" t="n">
        <f aca="false">(IF(DX38&lt;&gt;"",1/2,0)+IF(DY38&lt;&gt;"",1,0))*EA38*EA$33*20</f>
        <v>0</v>
      </c>
      <c r="EC38" s="48" t="str">
        <f aca="false">IF(COUNTBLANK(DV38:DY38)=3,1,"")</f>
        <v/>
      </c>
      <c r="ED38" s="74" t="n">
        <f aca="false">IF(DV38="",EA38,0)</f>
        <v>0.05</v>
      </c>
      <c r="EE38" s="79" t="n">
        <f aca="false">IF(ED38=0,0,EA38/SUM(ED$34:ED$41))</f>
        <v>0.05</v>
      </c>
      <c r="EF38" s="88"/>
      <c r="EG38" s="62"/>
      <c r="EH38" s="62"/>
      <c r="EI38" s="62"/>
      <c r="EJ38" s="45" t="str">
        <f aca="false">(IF(EM38="","◄",""))</f>
        <v>◄</v>
      </c>
      <c r="EK38" s="72" t="n">
        <v>0.05</v>
      </c>
      <c r="EL38" s="73" t="n">
        <f aca="false">(IF(EH38&lt;&gt;"",1/2,0)+IF(EI38&lt;&gt;"",1,0))*EK38*EK$33*20</f>
        <v>0</v>
      </c>
      <c r="EM38" s="48" t="str">
        <f aca="false">IF(COUNTBLANK(EF38:EI38)=3,1,"")</f>
        <v/>
      </c>
      <c r="EN38" s="74" t="n">
        <f aca="false">IF(EF38="",EK38,0)</f>
        <v>0.05</v>
      </c>
      <c r="EO38" s="79" t="n">
        <f aca="false">IF(EN38=0,0,EK38/SUM(EN$34:EN$41))</f>
        <v>0.05</v>
      </c>
      <c r="EP38" s="88"/>
      <c r="EQ38" s="62"/>
      <c r="ER38" s="62"/>
      <c r="ES38" s="62"/>
      <c r="ET38" s="45" t="str">
        <f aca="false">(IF(EW38="","◄",""))</f>
        <v>◄</v>
      </c>
      <c r="EU38" s="72" t="n">
        <v>0.05</v>
      </c>
      <c r="EV38" s="73" t="n">
        <f aca="false">(IF(ER38&lt;&gt;"",1/2,0)+IF(ES38&lt;&gt;"",1,0))*EU38*EU$33*20</f>
        <v>0</v>
      </c>
      <c r="EW38" s="48" t="str">
        <f aca="false">IF(COUNTBLANK(EP38:ES38)=3,1,"")</f>
        <v/>
      </c>
      <c r="EX38" s="74" t="n">
        <f aca="false">IF(EP38="",EU38,0)</f>
        <v>0.05</v>
      </c>
      <c r="EY38" s="79" t="n">
        <f aca="false">IF(EX38=0,0,EU38/SUM(EX$34:EX$41))</f>
        <v>0.05</v>
      </c>
      <c r="EZ38" s="88"/>
      <c r="FA38" s="62"/>
      <c r="FB38" s="62"/>
      <c r="FC38" s="62"/>
      <c r="FD38" s="45" t="str">
        <f aca="false">(IF(FG38="","◄",""))</f>
        <v>◄</v>
      </c>
      <c r="FE38" s="72" t="n">
        <v>0.05</v>
      </c>
      <c r="FF38" s="73" t="n">
        <f aca="false">(IF(FB38&lt;&gt;"",1/2,0)+IF(FC38&lt;&gt;"",1,0))*FE38*FE$33*20</f>
        <v>0</v>
      </c>
      <c r="FG38" s="48" t="str">
        <f aca="false">IF(COUNTBLANK(EZ38:FC38)=3,1,"")</f>
        <v/>
      </c>
      <c r="FH38" s="74" t="n">
        <f aca="false">IF(EZ38="",FE38,0)</f>
        <v>0.05</v>
      </c>
      <c r="FI38" s="79" t="n">
        <f aca="false">IF(FH38=0,0,FE38/SUM(FH$34:FH$41))</f>
        <v>0.05</v>
      </c>
      <c r="FJ38" s="88"/>
      <c r="FK38" s="62"/>
      <c r="FL38" s="62"/>
      <c r="FM38" s="62"/>
      <c r="FN38" s="45" t="str">
        <f aca="false">(IF(FQ38="","◄",""))</f>
        <v>◄</v>
      </c>
      <c r="FO38" s="72" t="n">
        <v>0.05</v>
      </c>
      <c r="FP38" s="73" t="n">
        <f aca="false">(IF(FL38&lt;&gt;"",1/2,0)+IF(FM38&lt;&gt;"",1,0))*FO38*FO$33*20</f>
        <v>0</v>
      </c>
      <c r="FQ38" s="48" t="str">
        <f aca="false">IF(COUNTBLANK(FJ38:FM38)=3,1,"")</f>
        <v/>
      </c>
      <c r="FR38" s="74" t="n">
        <f aca="false">IF(FJ38="",FO38,0)</f>
        <v>0.05</v>
      </c>
      <c r="FS38" s="79" t="n">
        <f aca="false">IF(FR38=0,0,FO38/SUM(FR$34:FR$41))</f>
        <v>0.05</v>
      </c>
      <c r="FT38" s="88"/>
      <c r="FU38" s="62"/>
      <c r="FV38" s="62"/>
      <c r="FW38" s="62"/>
      <c r="FX38" s="45" t="str">
        <f aca="false">(IF(GA38="","◄",""))</f>
        <v>◄</v>
      </c>
      <c r="FY38" s="72" t="n">
        <v>0.05</v>
      </c>
      <c r="FZ38" s="73" t="n">
        <f aca="false">(IF(FV38&lt;&gt;"",1/2,0)+IF(FW38&lt;&gt;"",1,0))*FY38*FY$33*20</f>
        <v>0</v>
      </c>
      <c r="GA38" s="48" t="str">
        <f aca="false">IF(COUNTBLANK(FT38:FW38)=3,1,"")</f>
        <v/>
      </c>
      <c r="GB38" s="74" t="n">
        <f aca="false">IF(FT38="",FY38,0)</f>
        <v>0.05</v>
      </c>
      <c r="GC38" s="79" t="n">
        <f aca="false">IF(GB38=0,0,FY38/SUM(GB$34:GB$41))</f>
        <v>0.05</v>
      </c>
      <c r="GD38" s="88"/>
      <c r="GE38" s="62"/>
      <c r="GF38" s="62"/>
      <c r="GG38" s="62"/>
      <c r="GH38" s="45" t="str">
        <f aca="false">(IF(GK38="","◄",""))</f>
        <v>◄</v>
      </c>
      <c r="GI38" s="72" t="n">
        <v>0.05</v>
      </c>
      <c r="GJ38" s="73" t="n">
        <f aca="false">(IF(GF38&lt;&gt;"",1/2,0)+IF(GG38&lt;&gt;"",1,0))*GI38*GI$33*20</f>
        <v>0</v>
      </c>
      <c r="GK38" s="48" t="str">
        <f aca="false">IF(COUNTBLANK(GD38:GG38)=3,1,"")</f>
        <v/>
      </c>
      <c r="GL38" s="74" t="n">
        <f aca="false">IF(GD38="",GI38,0)</f>
        <v>0.05</v>
      </c>
      <c r="GM38" s="79" t="n">
        <f aca="false">IF(GL38=0,0,GI38/SUM(GL$34:GL$41))</f>
        <v>0.05</v>
      </c>
      <c r="GN38" s="88"/>
      <c r="GO38" s="62"/>
      <c r="GP38" s="62"/>
      <c r="GQ38" s="62"/>
      <c r="GR38" s="45" t="str">
        <f aca="false">(IF(GU38="","◄",""))</f>
        <v>◄</v>
      </c>
      <c r="GS38" s="72" t="n">
        <v>0.05</v>
      </c>
      <c r="GT38" s="73" t="n">
        <f aca="false">(IF(GP38&lt;&gt;"",1/2,0)+IF(GQ38&lt;&gt;"",1,0))*GS38*GS$33*20</f>
        <v>0</v>
      </c>
      <c r="GU38" s="48" t="str">
        <f aca="false">IF(COUNTBLANK(GN38:GQ38)=3,1,"")</f>
        <v/>
      </c>
      <c r="GV38" s="74" t="n">
        <f aca="false">IF(GN38="",GS38,0)</f>
        <v>0.05</v>
      </c>
      <c r="GW38" s="79" t="n">
        <f aca="false">IF(GV38=0,0,GS38/SUM(GV$34:GV$41))</f>
        <v>0.05</v>
      </c>
      <c r="GX38" s="88"/>
      <c r="GY38" s="62"/>
      <c r="GZ38" s="62"/>
      <c r="HA38" s="62"/>
      <c r="HB38" s="45" t="str">
        <f aca="false">(IF(HE38="","◄",""))</f>
        <v>◄</v>
      </c>
      <c r="HC38" s="72" t="n">
        <v>0.05</v>
      </c>
      <c r="HD38" s="73" t="n">
        <f aca="false">(IF(GZ38&lt;&gt;"",1/2,0)+IF(HA38&lt;&gt;"",1,0))*HC38*HC$33*20</f>
        <v>0</v>
      </c>
      <c r="HE38" s="48" t="str">
        <f aca="false">IF(COUNTBLANK(GX38:HA38)=3,1,"")</f>
        <v/>
      </c>
      <c r="HF38" s="74" t="n">
        <f aca="false">IF(GX38="",HC38,0)</f>
        <v>0.05</v>
      </c>
      <c r="HG38" s="79" t="n">
        <f aca="false">IF(HF38=0,0,HC38/SUM(HF$34:HF$41))</f>
        <v>0.05</v>
      </c>
      <c r="HH38" s="88"/>
      <c r="HI38" s="62"/>
      <c r="HJ38" s="62"/>
      <c r="HK38" s="62"/>
      <c r="HL38" s="45" t="str">
        <f aca="false">(IF(HO38="","◄",""))</f>
        <v>◄</v>
      </c>
      <c r="HM38" s="72" t="n">
        <v>0.05</v>
      </c>
      <c r="HN38" s="73" t="n">
        <f aca="false">(IF(HJ38&lt;&gt;"",1/2,0)+IF(HK38&lt;&gt;"",1,0))*HM38*HM$33*20</f>
        <v>0</v>
      </c>
      <c r="HO38" s="48" t="str">
        <f aca="false">IF(COUNTBLANK(HH38:HK38)=3,1,"")</f>
        <v/>
      </c>
      <c r="HP38" s="74" t="n">
        <f aca="false">IF(HH38="",HM38,0)</f>
        <v>0.05</v>
      </c>
      <c r="HQ38" s="79" t="n">
        <f aca="false">IF(HP38=0,0,HM38/SUM(HP$34:HP$41))</f>
        <v>0.05</v>
      </c>
      <c r="HR38" s="88"/>
      <c r="HS38" s="62"/>
      <c r="HT38" s="62"/>
      <c r="HU38" s="62"/>
      <c r="HV38" s="45" t="str">
        <f aca="false">(IF(HY38="","◄",""))</f>
        <v>◄</v>
      </c>
      <c r="HW38" s="72" t="n">
        <v>0.05</v>
      </c>
      <c r="HX38" s="73" t="n">
        <f aca="false">(IF(HT38&lt;&gt;"",1/2,0)+IF(HU38&lt;&gt;"",1,0))*HW38*HW$33*20</f>
        <v>0</v>
      </c>
      <c r="HY38" s="48" t="str">
        <f aca="false">IF(COUNTBLANK(HR38:HU38)=3,1,"")</f>
        <v/>
      </c>
      <c r="HZ38" s="74" t="n">
        <f aca="false">IF(HR38="",HW38,0)</f>
        <v>0.05</v>
      </c>
      <c r="IA38" s="79" t="n">
        <f aca="false">IF(HZ38=0,0,HW38/SUM(HZ$34:HZ$41))</f>
        <v>0.05</v>
      </c>
      <c r="IB38" s="88"/>
      <c r="IC38" s="62"/>
      <c r="ID38" s="62"/>
      <c r="IE38" s="62"/>
      <c r="IF38" s="45" t="str">
        <f aca="false">(IF(II38="","◄",""))</f>
        <v>◄</v>
      </c>
      <c r="IG38" s="72" t="n">
        <v>0.05</v>
      </c>
      <c r="IH38" s="73" t="n">
        <f aca="false">(IF(ID38&lt;&gt;"",1/2,0)+IF(IE38&lt;&gt;"",1,0))*IG38*IG$33*20</f>
        <v>0</v>
      </c>
      <c r="II38" s="48" t="str">
        <f aca="false">IF(COUNTBLANK(IB38:IE38)=3,1,"")</f>
        <v/>
      </c>
      <c r="IJ38" s="74" t="n">
        <f aca="false">IF(IB38="",IG38,0)</f>
        <v>0.05</v>
      </c>
      <c r="IK38" s="79" t="n">
        <f aca="false">IF(IJ38=0,0,IG38/SUM(IJ$34:IJ$41))</f>
        <v>0.05</v>
      </c>
    </row>
    <row r="39" customFormat="false" ht="49.5" hidden="false" customHeight="true" outlineLevel="0" collapsed="false">
      <c r="A39" s="83"/>
      <c r="B39" s="81"/>
      <c r="C39" s="85"/>
      <c r="D39" s="52"/>
      <c r="E39" s="53" t="s">
        <v>91</v>
      </c>
      <c r="F39" s="88"/>
      <c r="G39" s="62"/>
      <c r="H39" s="62"/>
      <c r="I39" s="62"/>
      <c r="J39" s="45" t="str">
        <f aca="false">(IF(M39="","◄",""))</f>
        <v>◄</v>
      </c>
      <c r="K39" s="72" t="n">
        <v>0.05</v>
      </c>
      <c r="L39" s="73" t="n">
        <f aca="false">(IF(H39&lt;&gt;"",1/2,0)+IF(I39&lt;&gt;"",1,0))*K39*K$33*20</f>
        <v>0</v>
      </c>
      <c r="M39" s="48" t="str">
        <f aca="false">IF(COUNTBLANK(F39:I39)=3,1,"")</f>
        <v/>
      </c>
      <c r="N39" s="74" t="n">
        <f aca="false">IF(F39="",K39,0)</f>
        <v>0.05</v>
      </c>
      <c r="O39" s="79" t="n">
        <f aca="false">IF(N39=0,0,K39/SUM(N$34:N$41))</f>
        <v>0.05</v>
      </c>
      <c r="P39" s="88"/>
      <c r="Q39" s="62"/>
      <c r="R39" s="62"/>
      <c r="S39" s="62"/>
      <c r="T39" s="45" t="str">
        <f aca="false">(IF(W39="","◄",""))</f>
        <v>◄</v>
      </c>
      <c r="U39" s="72" t="n">
        <v>0.05</v>
      </c>
      <c r="V39" s="73" t="n">
        <f aca="false">(IF(R39&lt;&gt;"",1/2,0)+IF(S39&lt;&gt;"",1,0))*U39*U$33*20</f>
        <v>0</v>
      </c>
      <c r="W39" s="48" t="str">
        <f aca="false">IF(COUNTBLANK(P39:S39)=3,1,"")</f>
        <v/>
      </c>
      <c r="X39" s="74" t="n">
        <f aca="false">IF(P39="",U39,0)</f>
        <v>0.05</v>
      </c>
      <c r="Y39" s="79" t="n">
        <f aca="false">IF(X39=0,0,U39/SUM(X$34:X$41))</f>
        <v>0.05</v>
      </c>
      <c r="Z39" s="88"/>
      <c r="AA39" s="62"/>
      <c r="AB39" s="62"/>
      <c r="AC39" s="62"/>
      <c r="AD39" s="45" t="str">
        <f aca="false">(IF(AG39="","◄",""))</f>
        <v>◄</v>
      </c>
      <c r="AE39" s="72" t="n">
        <v>0.05</v>
      </c>
      <c r="AF39" s="73" t="n">
        <f aca="false">(IF(AB39&lt;&gt;"",1/2,0)+IF(AC39&lt;&gt;"",1,0))*AE39*AE$33*20</f>
        <v>0</v>
      </c>
      <c r="AG39" s="48" t="str">
        <f aca="false">IF(COUNTBLANK(Z39:AC39)=3,1,"")</f>
        <v/>
      </c>
      <c r="AH39" s="74" t="n">
        <f aca="false">IF(Z39="",AE39,0)</f>
        <v>0.05</v>
      </c>
      <c r="AI39" s="79" t="n">
        <f aca="false">IF(AH39=0,0,AE39/SUM(AH$34:AH$41))</f>
        <v>0.05</v>
      </c>
      <c r="AJ39" s="88"/>
      <c r="AK39" s="62"/>
      <c r="AL39" s="62"/>
      <c r="AM39" s="62"/>
      <c r="AN39" s="45" t="str">
        <f aca="false">(IF(AQ39="","◄",""))</f>
        <v>◄</v>
      </c>
      <c r="AO39" s="72" t="n">
        <v>0.05</v>
      </c>
      <c r="AP39" s="73" t="n">
        <f aca="false">(IF(AL39&lt;&gt;"",1/2,0)+IF(AM39&lt;&gt;"",1,0))*AO39*AO$33*20</f>
        <v>0</v>
      </c>
      <c r="AQ39" s="48" t="str">
        <f aca="false">IF(COUNTBLANK(AJ39:AM39)=3,1,"")</f>
        <v/>
      </c>
      <c r="AR39" s="74" t="n">
        <f aca="false">IF(AJ39="",AO39,0)</f>
        <v>0.05</v>
      </c>
      <c r="AS39" s="79" t="n">
        <f aca="false">IF(AR39=0,0,AO39/SUM(AR$34:AR$41))</f>
        <v>0.05</v>
      </c>
      <c r="AT39" s="88"/>
      <c r="AU39" s="62"/>
      <c r="AV39" s="62"/>
      <c r="AW39" s="62"/>
      <c r="AX39" s="45" t="str">
        <f aca="false">(IF(BA39="","◄",""))</f>
        <v>◄</v>
      </c>
      <c r="AY39" s="72" t="n">
        <v>0.05</v>
      </c>
      <c r="AZ39" s="73" t="n">
        <f aca="false">(IF(AV39&lt;&gt;"",1/2,0)+IF(AW39&lt;&gt;"",1,0))*AY39*AY$33*20</f>
        <v>0</v>
      </c>
      <c r="BA39" s="48" t="str">
        <f aca="false">IF(COUNTBLANK(AT39:AW39)=3,1,"")</f>
        <v/>
      </c>
      <c r="BB39" s="74" t="n">
        <f aca="false">IF(AT39="",AY39,0)</f>
        <v>0.05</v>
      </c>
      <c r="BC39" s="79" t="n">
        <f aca="false">IF(BB39=0,0,AY39/SUM(BB$34:BB$41))</f>
        <v>0.05</v>
      </c>
      <c r="BD39" s="88"/>
      <c r="BE39" s="62"/>
      <c r="BF39" s="62"/>
      <c r="BG39" s="62"/>
      <c r="BH39" s="45" t="str">
        <f aca="false">(IF(BK39="","◄",""))</f>
        <v>◄</v>
      </c>
      <c r="BI39" s="72" t="n">
        <v>0.05</v>
      </c>
      <c r="BJ39" s="73" t="n">
        <f aca="false">(IF(BF39&lt;&gt;"",1/2,0)+IF(BG39&lt;&gt;"",1,0))*BI39*BI$33*20</f>
        <v>0</v>
      </c>
      <c r="BK39" s="48" t="str">
        <f aca="false">IF(COUNTBLANK(BD39:BG39)=3,1,"")</f>
        <v/>
      </c>
      <c r="BL39" s="74" t="n">
        <f aca="false">IF(BD39="",BI39,0)</f>
        <v>0.05</v>
      </c>
      <c r="BM39" s="79" t="n">
        <f aca="false">IF(BL39=0,0,BI39/SUM(BL$34:BL$41))</f>
        <v>0.05</v>
      </c>
      <c r="BN39" s="88"/>
      <c r="BO39" s="62"/>
      <c r="BP39" s="62"/>
      <c r="BQ39" s="62"/>
      <c r="BR39" s="45" t="str">
        <f aca="false">(IF(BU39="","◄",""))</f>
        <v>◄</v>
      </c>
      <c r="BS39" s="72" t="n">
        <v>0.05</v>
      </c>
      <c r="BT39" s="73" t="n">
        <f aca="false">(IF(BP39&lt;&gt;"",1/2,0)+IF(BQ39&lt;&gt;"",1,0))*BS39*BS$33*20</f>
        <v>0</v>
      </c>
      <c r="BU39" s="48" t="str">
        <f aca="false">IF(COUNTBLANK(BN39:BQ39)=3,1,"")</f>
        <v/>
      </c>
      <c r="BV39" s="74" t="n">
        <f aca="false">IF(BN39="",BS39,0)</f>
        <v>0.05</v>
      </c>
      <c r="BW39" s="79" t="n">
        <f aca="false">IF(BV39=0,0,BS39/SUM(BV$34:BV$41))</f>
        <v>0.05</v>
      </c>
      <c r="BX39" s="88"/>
      <c r="BY39" s="62"/>
      <c r="BZ39" s="62"/>
      <c r="CA39" s="62"/>
      <c r="CB39" s="45" t="str">
        <f aca="false">(IF(CE39="","◄",""))</f>
        <v>◄</v>
      </c>
      <c r="CC39" s="72" t="n">
        <v>0.05</v>
      </c>
      <c r="CD39" s="73" t="n">
        <f aca="false">(IF(BZ39&lt;&gt;"",1/2,0)+IF(CA39&lt;&gt;"",1,0))*CC39*CC$33*20</f>
        <v>0</v>
      </c>
      <c r="CE39" s="48" t="str">
        <f aca="false">IF(COUNTBLANK(BX39:CA39)=3,1,"")</f>
        <v/>
      </c>
      <c r="CF39" s="74" t="n">
        <f aca="false">IF(BX39="",CC39,0)</f>
        <v>0.05</v>
      </c>
      <c r="CG39" s="79" t="n">
        <f aca="false">IF(CF39=0,0,CC39/SUM(CF$34:CF$41))</f>
        <v>0.05</v>
      </c>
      <c r="CH39" s="88"/>
      <c r="CI39" s="62"/>
      <c r="CJ39" s="62"/>
      <c r="CK39" s="62"/>
      <c r="CL39" s="45" t="str">
        <f aca="false">(IF(CO39="","◄",""))</f>
        <v>◄</v>
      </c>
      <c r="CM39" s="72" t="n">
        <v>0.05</v>
      </c>
      <c r="CN39" s="73" t="n">
        <f aca="false">(IF(CJ39&lt;&gt;"",1/2,0)+IF(CK39&lt;&gt;"",1,0))*CM39*CM$33*20</f>
        <v>0</v>
      </c>
      <c r="CO39" s="48" t="str">
        <f aca="false">IF(COUNTBLANK(CH39:CK39)=3,1,"")</f>
        <v/>
      </c>
      <c r="CP39" s="74" t="n">
        <f aca="false">IF(CH39="",CM39,0)</f>
        <v>0.05</v>
      </c>
      <c r="CQ39" s="79" t="n">
        <f aca="false">IF(CP39=0,0,CM39/SUM(CP$34:CP$41))</f>
        <v>0.05</v>
      </c>
      <c r="CR39" s="88"/>
      <c r="CS39" s="62"/>
      <c r="CT39" s="62"/>
      <c r="CU39" s="62"/>
      <c r="CV39" s="45" t="str">
        <f aca="false">(IF(CY39="","◄",""))</f>
        <v>◄</v>
      </c>
      <c r="CW39" s="72" t="n">
        <v>0.05</v>
      </c>
      <c r="CX39" s="73" t="n">
        <f aca="false">(IF(CT39&lt;&gt;"",1/2,0)+IF(CU39&lt;&gt;"",1,0))*CW39*CW$33*20</f>
        <v>0</v>
      </c>
      <c r="CY39" s="48" t="str">
        <f aca="false">IF(COUNTBLANK(CR39:CU39)=3,1,"")</f>
        <v/>
      </c>
      <c r="CZ39" s="74" t="n">
        <f aca="false">IF(CR39="",CW39,0)</f>
        <v>0.05</v>
      </c>
      <c r="DA39" s="79" t="n">
        <f aca="false">IF(CZ39=0,0,CW39/SUM(CZ$34:CZ$41))</f>
        <v>0.05</v>
      </c>
      <c r="DB39" s="88"/>
      <c r="DC39" s="62"/>
      <c r="DD39" s="62"/>
      <c r="DE39" s="62"/>
      <c r="DF39" s="45" t="str">
        <f aca="false">(IF(DI39="","◄",""))</f>
        <v>◄</v>
      </c>
      <c r="DG39" s="72" t="n">
        <v>0.05</v>
      </c>
      <c r="DH39" s="73" t="n">
        <f aca="false">(IF(DD39&lt;&gt;"",1/2,0)+IF(DE39&lt;&gt;"",1,0))*DG39*DG$33*20</f>
        <v>0</v>
      </c>
      <c r="DI39" s="48" t="str">
        <f aca="false">IF(COUNTBLANK(DB39:DE39)=3,1,"")</f>
        <v/>
      </c>
      <c r="DJ39" s="74" t="n">
        <f aca="false">IF(DB39="",DG39,0)</f>
        <v>0.05</v>
      </c>
      <c r="DK39" s="79" t="n">
        <f aca="false">IF(DJ39=0,0,DG39/SUM(DJ$34:DJ$41))</f>
        <v>0.05</v>
      </c>
      <c r="DL39" s="88"/>
      <c r="DM39" s="62"/>
      <c r="DN39" s="62"/>
      <c r="DO39" s="62"/>
      <c r="DP39" s="45" t="str">
        <f aca="false">(IF(DS39="","◄",""))</f>
        <v>◄</v>
      </c>
      <c r="DQ39" s="72" t="n">
        <v>0.05</v>
      </c>
      <c r="DR39" s="73" t="n">
        <f aca="false">(IF(DN39&lt;&gt;"",1/2,0)+IF(DO39&lt;&gt;"",1,0))*DQ39*DQ$33*20</f>
        <v>0</v>
      </c>
      <c r="DS39" s="48" t="str">
        <f aca="false">IF(COUNTBLANK(DL39:DO39)=3,1,"")</f>
        <v/>
      </c>
      <c r="DT39" s="74" t="n">
        <f aca="false">IF(DL39="",DQ39,0)</f>
        <v>0.05</v>
      </c>
      <c r="DU39" s="79" t="n">
        <f aca="false">IF(DT39=0,0,DQ39/SUM(DT$34:DT$41))</f>
        <v>0.05</v>
      </c>
      <c r="DV39" s="88"/>
      <c r="DW39" s="62"/>
      <c r="DX39" s="62"/>
      <c r="DY39" s="62"/>
      <c r="DZ39" s="45" t="str">
        <f aca="false">(IF(EC39="","◄",""))</f>
        <v>◄</v>
      </c>
      <c r="EA39" s="72" t="n">
        <v>0.05</v>
      </c>
      <c r="EB39" s="73" t="n">
        <f aca="false">(IF(DX39&lt;&gt;"",1/2,0)+IF(DY39&lt;&gt;"",1,0))*EA39*EA$33*20</f>
        <v>0</v>
      </c>
      <c r="EC39" s="48" t="str">
        <f aca="false">IF(COUNTBLANK(DV39:DY39)=3,1,"")</f>
        <v/>
      </c>
      <c r="ED39" s="74" t="n">
        <f aca="false">IF(DV39="",EA39,0)</f>
        <v>0.05</v>
      </c>
      <c r="EE39" s="79" t="n">
        <f aca="false">IF(ED39=0,0,EA39/SUM(ED$34:ED$41))</f>
        <v>0.05</v>
      </c>
      <c r="EF39" s="88"/>
      <c r="EG39" s="62"/>
      <c r="EH39" s="62"/>
      <c r="EI39" s="62"/>
      <c r="EJ39" s="45" t="str">
        <f aca="false">(IF(EM39="","◄",""))</f>
        <v>◄</v>
      </c>
      <c r="EK39" s="72" t="n">
        <v>0.05</v>
      </c>
      <c r="EL39" s="73" t="n">
        <f aca="false">(IF(EH39&lt;&gt;"",1/2,0)+IF(EI39&lt;&gt;"",1,0))*EK39*EK$33*20</f>
        <v>0</v>
      </c>
      <c r="EM39" s="48" t="str">
        <f aca="false">IF(COUNTBLANK(EF39:EI39)=3,1,"")</f>
        <v/>
      </c>
      <c r="EN39" s="74" t="n">
        <f aca="false">IF(EF39="",EK39,0)</f>
        <v>0.05</v>
      </c>
      <c r="EO39" s="79" t="n">
        <f aca="false">IF(EN39=0,0,EK39/SUM(EN$34:EN$41))</f>
        <v>0.05</v>
      </c>
      <c r="EP39" s="88"/>
      <c r="EQ39" s="62"/>
      <c r="ER39" s="62"/>
      <c r="ES39" s="62"/>
      <c r="ET39" s="45" t="str">
        <f aca="false">(IF(EW39="","◄",""))</f>
        <v>◄</v>
      </c>
      <c r="EU39" s="72" t="n">
        <v>0.05</v>
      </c>
      <c r="EV39" s="73" t="n">
        <f aca="false">(IF(ER39&lt;&gt;"",1/2,0)+IF(ES39&lt;&gt;"",1,0))*EU39*EU$33*20</f>
        <v>0</v>
      </c>
      <c r="EW39" s="48" t="str">
        <f aca="false">IF(COUNTBLANK(EP39:ES39)=3,1,"")</f>
        <v/>
      </c>
      <c r="EX39" s="74" t="n">
        <f aca="false">IF(EP39="",EU39,0)</f>
        <v>0.05</v>
      </c>
      <c r="EY39" s="79" t="n">
        <f aca="false">IF(EX39=0,0,EU39/SUM(EX$34:EX$41))</f>
        <v>0.05</v>
      </c>
      <c r="EZ39" s="88"/>
      <c r="FA39" s="62"/>
      <c r="FB39" s="62"/>
      <c r="FC39" s="62"/>
      <c r="FD39" s="45" t="str">
        <f aca="false">(IF(FG39="","◄",""))</f>
        <v>◄</v>
      </c>
      <c r="FE39" s="72" t="n">
        <v>0.05</v>
      </c>
      <c r="FF39" s="73" t="n">
        <f aca="false">(IF(FB39&lt;&gt;"",1/2,0)+IF(FC39&lt;&gt;"",1,0))*FE39*FE$33*20</f>
        <v>0</v>
      </c>
      <c r="FG39" s="48" t="str">
        <f aca="false">IF(COUNTBLANK(EZ39:FC39)=3,1,"")</f>
        <v/>
      </c>
      <c r="FH39" s="74" t="n">
        <f aca="false">IF(EZ39="",FE39,0)</f>
        <v>0.05</v>
      </c>
      <c r="FI39" s="79" t="n">
        <f aca="false">IF(FH39=0,0,FE39/SUM(FH$34:FH$41))</f>
        <v>0.05</v>
      </c>
      <c r="FJ39" s="88"/>
      <c r="FK39" s="62"/>
      <c r="FL39" s="62"/>
      <c r="FM39" s="62"/>
      <c r="FN39" s="45" t="str">
        <f aca="false">(IF(FQ39="","◄",""))</f>
        <v>◄</v>
      </c>
      <c r="FO39" s="72" t="n">
        <v>0.05</v>
      </c>
      <c r="FP39" s="73" t="n">
        <f aca="false">(IF(FL39&lt;&gt;"",1/2,0)+IF(FM39&lt;&gt;"",1,0))*FO39*FO$33*20</f>
        <v>0</v>
      </c>
      <c r="FQ39" s="48" t="str">
        <f aca="false">IF(COUNTBLANK(FJ39:FM39)=3,1,"")</f>
        <v/>
      </c>
      <c r="FR39" s="74" t="n">
        <f aca="false">IF(FJ39="",FO39,0)</f>
        <v>0.05</v>
      </c>
      <c r="FS39" s="79" t="n">
        <f aca="false">IF(FR39=0,0,FO39/SUM(FR$34:FR$41))</f>
        <v>0.05</v>
      </c>
      <c r="FT39" s="88"/>
      <c r="FU39" s="62"/>
      <c r="FV39" s="62"/>
      <c r="FW39" s="62"/>
      <c r="FX39" s="45" t="str">
        <f aca="false">(IF(GA39="","◄",""))</f>
        <v>◄</v>
      </c>
      <c r="FY39" s="72" t="n">
        <v>0.05</v>
      </c>
      <c r="FZ39" s="73" t="n">
        <f aca="false">(IF(FV39&lt;&gt;"",1/2,0)+IF(FW39&lt;&gt;"",1,0))*FY39*FY$33*20</f>
        <v>0</v>
      </c>
      <c r="GA39" s="48" t="str">
        <f aca="false">IF(COUNTBLANK(FT39:FW39)=3,1,"")</f>
        <v/>
      </c>
      <c r="GB39" s="74" t="n">
        <f aca="false">IF(FT39="",FY39,0)</f>
        <v>0.05</v>
      </c>
      <c r="GC39" s="79" t="n">
        <f aca="false">IF(GB39=0,0,FY39/SUM(GB$34:GB$41))</f>
        <v>0.05</v>
      </c>
      <c r="GD39" s="88"/>
      <c r="GE39" s="62"/>
      <c r="GF39" s="62"/>
      <c r="GG39" s="62"/>
      <c r="GH39" s="45" t="str">
        <f aca="false">(IF(GK39="","◄",""))</f>
        <v>◄</v>
      </c>
      <c r="GI39" s="72" t="n">
        <v>0.05</v>
      </c>
      <c r="GJ39" s="73" t="n">
        <f aca="false">(IF(GF39&lt;&gt;"",1/2,0)+IF(GG39&lt;&gt;"",1,0))*GI39*GI$33*20</f>
        <v>0</v>
      </c>
      <c r="GK39" s="48" t="str">
        <f aca="false">IF(COUNTBLANK(GD39:GG39)=3,1,"")</f>
        <v/>
      </c>
      <c r="GL39" s="74" t="n">
        <f aca="false">IF(GD39="",GI39,0)</f>
        <v>0.05</v>
      </c>
      <c r="GM39" s="79" t="n">
        <f aca="false">IF(GL39=0,0,GI39/SUM(GL$34:GL$41))</f>
        <v>0.05</v>
      </c>
      <c r="GN39" s="88"/>
      <c r="GO39" s="62"/>
      <c r="GP39" s="62"/>
      <c r="GQ39" s="62"/>
      <c r="GR39" s="45" t="str">
        <f aca="false">(IF(GU39="","◄",""))</f>
        <v>◄</v>
      </c>
      <c r="GS39" s="72" t="n">
        <v>0.05</v>
      </c>
      <c r="GT39" s="73" t="n">
        <f aca="false">(IF(GP39&lt;&gt;"",1/2,0)+IF(GQ39&lt;&gt;"",1,0))*GS39*GS$33*20</f>
        <v>0</v>
      </c>
      <c r="GU39" s="48" t="str">
        <f aca="false">IF(COUNTBLANK(GN39:GQ39)=3,1,"")</f>
        <v/>
      </c>
      <c r="GV39" s="74" t="n">
        <f aca="false">IF(GN39="",GS39,0)</f>
        <v>0.05</v>
      </c>
      <c r="GW39" s="79" t="n">
        <f aca="false">IF(GV39=0,0,GS39/SUM(GV$34:GV$41))</f>
        <v>0.05</v>
      </c>
      <c r="GX39" s="88"/>
      <c r="GY39" s="62"/>
      <c r="GZ39" s="62"/>
      <c r="HA39" s="62"/>
      <c r="HB39" s="45" t="str">
        <f aca="false">(IF(HE39="","◄",""))</f>
        <v>◄</v>
      </c>
      <c r="HC39" s="72" t="n">
        <v>0.05</v>
      </c>
      <c r="HD39" s="73" t="n">
        <f aca="false">(IF(GZ39&lt;&gt;"",1/2,0)+IF(HA39&lt;&gt;"",1,0))*HC39*HC$33*20</f>
        <v>0</v>
      </c>
      <c r="HE39" s="48" t="str">
        <f aca="false">IF(COUNTBLANK(GX39:HA39)=3,1,"")</f>
        <v/>
      </c>
      <c r="HF39" s="74" t="n">
        <f aca="false">IF(GX39="",HC39,0)</f>
        <v>0.05</v>
      </c>
      <c r="HG39" s="79" t="n">
        <f aca="false">IF(HF39=0,0,HC39/SUM(HF$34:HF$41))</f>
        <v>0.05</v>
      </c>
      <c r="HH39" s="88"/>
      <c r="HI39" s="62"/>
      <c r="HJ39" s="62"/>
      <c r="HK39" s="62"/>
      <c r="HL39" s="45" t="str">
        <f aca="false">(IF(HO39="","◄",""))</f>
        <v>◄</v>
      </c>
      <c r="HM39" s="72" t="n">
        <v>0.05</v>
      </c>
      <c r="HN39" s="73" t="n">
        <f aca="false">(IF(HJ39&lt;&gt;"",1/2,0)+IF(HK39&lt;&gt;"",1,0))*HM39*HM$33*20</f>
        <v>0</v>
      </c>
      <c r="HO39" s="48" t="str">
        <f aca="false">IF(COUNTBLANK(HH39:HK39)=3,1,"")</f>
        <v/>
      </c>
      <c r="HP39" s="74" t="n">
        <f aca="false">IF(HH39="",HM39,0)</f>
        <v>0.05</v>
      </c>
      <c r="HQ39" s="79" t="n">
        <f aca="false">IF(HP39=0,0,HM39/SUM(HP$34:HP$41))</f>
        <v>0.05</v>
      </c>
      <c r="HR39" s="88"/>
      <c r="HS39" s="62"/>
      <c r="HT39" s="62"/>
      <c r="HU39" s="62"/>
      <c r="HV39" s="45" t="str">
        <f aca="false">(IF(HY39="","◄",""))</f>
        <v>◄</v>
      </c>
      <c r="HW39" s="72" t="n">
        <v>0.05</v>
      </c>
      <c r="HX39" s="73" t="n">
        <f aca="false">(IF(HT39&lt;&gt;"",1/2,0)+IF(HU39&lt;&gt;"",1,0))*HW39*HW$33*20</f>
        <v>0</v>
      </c>
      <c r="HY39" s="48" t="str">
        <f aca="false">IF(COUNTBLANK(HR39:HU39)=3,1,"")</f>
        <v/>
      </c>
      <c r="HZ39" s="74" t="n">
        <f aca="false">IF(HR39="",HW39,0)</f>
        <v>0.05</v>
      </c>
      <c r="IA39" s="79" t="n">
        <f aca="false">IF(HZ39=0,0,HW39/SUM(HZ$34:HZ$41))</f>
        <v>0.05</v>
      </c>
      <c r="IB39" s="88"/>
      <c r="IC39" s="62"/>
      <c r="ID39" s="62"/>
      <c r="IE39" s="62"/>
      <c r="IF39" s="45" t="str">
        <f aca="false">(IF(II39="","◄",""))</f>
        <v>◄</v>
      </c>
      <c r="IG39" s="72" t="n">
        <v>0.05</v>
      </c>
      <c r="IH39" s="73" t="n">
        <f aca="false">(IF(ID39&lt;&gt;"",1/2,0)+IF(IE39&lt;&gt;"",1,0))*IG39*IG$33*20</f>
        <v>0</v>
      </c>
      <c r="II39" s="48" t="str">
        <f aca="false">IF(COUNTBLANK(IB39:IE39)=3,1,"")</f>
        <v/>
      </c>
      <c r="IJ39" s="74" t="n">
        <f aca="false">IF(IB39="",IG39,0)</f>
        <v>0.05</v>
      </c>
      <c r="IK39" s="79" t="n">
        <f aca="false">IF(IJ39=0,0,IG39/SUM(IJ$34:IJ$41))</f>
        <v>0.05</v>
      </c>
    </row>
    <row r="40" customFormat="false" ht="49.5" hidden="false" customHeight="true" outlineLevel="0" collapsed="false">
      <c r="A40" s="83"/>
      <c r="B40" s="83"/>
      <c r="C40" s="90"/>
      <c r="D40" s="52" t="s">
        <v>92</v>
      </c>
      <c r="E40" s="53" t="s">
        <v>93</v>
      </c>
      <c r="F40" s="88"/>
      <c r="G40" s="62"/>
      <c r="H40" s="62"/>
      <c r="I40" s="62"/>
      <c r="J40" s="45" t="str">
        <f aca="false">(IF(M40="","◄",""))</f>
        <v>◄</v>
      </c>
      <c r="K40" s="72" t="n">
        <v>0.1</v>
      </c>
      <c r="L40" s="73" t="n">
        <f aca="false">(IF(H40&lt;&gt;"",1/2,0)+IF(I40&lt;&gt;"",1,0))*K40*K$33*20</f>
        <v>0</v>
      </c>
      <c r="M40" s="48" t="str">
        <f aca="false">IF(COUNTBLANK(F40:I40)=3,1,"")</f>
        <v/>
      </c>
      <c r="N40" s="74" t="n">
        <f aca="false">IF(F40="",K40,0)</f>
        <v>0.1</v>
      </c>
      <c r="O40" s="79" t="n">
        <f aca="false">IF(N40=0,0,K40/SUM(N$34:N$41))</f>
        <v>0.1</v>
      </c>
      <c r="P40" s="88"/>
      <c r="Q40" s="62"/>
      <c r="R40" s="62"/>
      <c r="S40" s="62"/>
      <c r="T40" s="45" t="str">
        <f aca="false">(IF(W40="","◄",""))</f>
        <v>◄</v>
      </c>
      <c r="U40" s="72" t="n">
        <v>0.1</v>
      </c>
      <c r="V40" s="73" t="n">
        <f aca="false">(IF(R40&lt;&gt;"",1/2,0)+IF(S40&lt;&gt;"",1,0))*U40*U$33*20</f>
        <v>0</v>
      </c>
      <c r="W40" s="48" t="str">
        <f aca="false">IF(COUNTBLANK(P40:S40)=3,1,"")</f>
        <v/>
      </c>
      <c r="X40" s="74" t="n">
        <f aca="false">IF(P40="",U40,0)</f>
        <v>0.1</v>
      </c>
      <c r="Y40" s="79" t="n">
        <f aca="false">IF(X40=0,0,U40/SUM(X$34:X$41))</f>
        <v>0.1</v>
      </c>
      <c r="Z40" s="88"/>
      <c r="AA40" s="62"/>
      <c r="AB40" s="62"/>
      <c r="AC40" s="62"/>
      <c r="AD40" s="45" t="str">
        <f aca="false">(IF(AG40="","◄",""))</f>
        <v>◄</v>
      </c>
      <c r="AE40" s="72" t="n">
        <v>0.1</v>
      </c>
      <c r="AF40" s="73" t="n">
        <f aca="false">(IF(AB40&lt;&gt;"",1/2,0)+IF(AC40&lt;&gt;"",1,0))*AE40*AE$33*20</f>
        <v>0</v>
      </c>
      <c r="AG40" s="48" t="str">
        <f aca="false">IF(COUNTBLANK(Z40:AC40)=3,1,"")</f>
        <v/>
      </c>
      <c r="AH40" s="74" t="n">
        <f aca="false">IF(Z40="",AE40,0)</f>
        <v>0.1</v>
      </c>
      <c r="AI40" s="79" t="n">
        <f aca="false">IF(AH40=0,0,AE40/SUM(AH$34:AH$41))</f>
        <v>0.1</v>
      </c>
      <c r="AJ40" s="88"/>
      <c r="AK40" s="62"/>
      <c r="AL40" s="62"/>
      <c r="AM40" s="62"/>
      <c r="AN40" s="45" t="str">
        <f aca="false">(IF(AQ40="","◄",""))</f>
        <v>◄</v>
      </c>
      <c r="AO40" s="72" t="n">
        <v>0.1</v>
      </c>
      <c r="AP40" s="73" t="n">
        <f aca="false">(IF(AL40&lt;&gt;"",1/2,0)+IF(AM40&lt;&gt;"",1,0))*AO40*AO$33*20</f>
        <v>0</v>
      </c>
      <c r="AQ40" s="48" t="str">
        <f aca="false">IF(COUNTBLANK(AJ40:AM40)=3,1,"")</f>
        <v/>
      </c>
      <c r="AR40" s="74" t="n">
        <f aca="false">IF(AJ40="",AO40,0)</f>
        <v>0.1</v>
      </c>
      <c r="AS40" s="79" t="n">
        <f aca="false">IF(AR40=0,0,AO40/SUM(AR$34:AR$41))</f>
        <v>0.1</v>
      </c>
      <c r="AT40" s="88"/>
      <c r="AU40" s="62"/>
      <c r="AV40" s="62"/>
      <c r="AW40" s="62"/>
      <c r="AX40" s="45" t="str">
        <f aca="false">(IF(BA40="","◄",""))</f>
        <v>◄</v>
      </c>
      <c r="AY40" s="72" t="n">
        <v>0.1</v>
      </c>
      <c r="AZ40" s="73" t="n">
        <f aca="false">(IF(AV40&lt;&gt;"",1/2,0)+IF(AW40&lt;&gt;"",1,0))*AY40*AY$33*20</f>
        <v>0</v>
      </c>
      <c r="BA40" s="48" t="str">
        <f aca="false">IF(COUNTBLANK(AT40:AW40)=3,1,"")</f>
        <v/>
      </c>
      <c r="BB40" s="74" t="n">
        <f aca="false">IF(AT40="",AY40,0)</f>
        <v>0.1</v>
      </c>
      <c r="BC40" s="79" t="n">
        <f aca="false">IF(BB40=0,0,AY40/SUM(BB$34:BB$41))</f>
        <v>0.1</v>
      </c>
      <c r="BD40" s="88"/>
      <c r="BE40" s="62"/>
      <c r="BF40" s="62"/>
      <c r="BG40" s="62"/>
      <c r="BH40" s="45" t="str">
        <f aca="false">(IF(BK40="","◄",""))</f>
        <v>◄</v>
      </c>
      <c r="BI40" s="72" t="n">
        <v>0.1</v>
      </c>
      <c r="BJ40" s="73" t="n">
        <f aca="false">(IF(BF40&lt;&gt;"",1/2,0)+IF(BG40&lt;&gt;"",1,0))*BI40*BI$33*20</f>
        <v>0</v>
      </c>
      <c r="BK40" s="48" t="str">
        <f aca="false">IF(COUNTBLANK(BD40:BG40)=3,1,"")</f>
        <v/>
      </c>
      <c r="BL40" s="74" t="n">
        <f aca="false">IF(BD40="",BI40,0)</f>
        <v>0.1</v>
      </c>
      <c r="BM40" s="79" t="n">
        <f aca="false">IF(BL40=0,0,BI40/SUM(BL$34:BL$41))</f>
        <v>0.1</v>
      </c>
      <c r="BN40" s="88"/>
      <c r="BO40" s="62"/>
      <c r="BP40" s="62"/>
      <c r="BQ40" s="62"/>
      <c r="BR40" s="45" t="str">
        <f aca="false">(IF(BU40="","◄",""))</f>
        <v>◄</v>
      </c>
      <c r="BS40" s="72" t="n">
        <v>0.1</v>
      </c>
      <c r="BT40" s="73" t="n">
        <f aca="false">(IF(BP40&lt;&gt;"",1/2,0)+IF(BQ40&lt;&gt;"",1,0))*BS40*BS$33*20</f>
        <v>0</v>
      </c>
      <c r="BU40" s="48" t="str">
        <f aca="false">IF(COUNTBLANK(BN40:BQ40)=3,1,"")</f>
        <v/>
      </c>
      <c r="BV40" s="74" t="n">
        <f aca="false">IF(BN40="",BS40,0)</f>
        <v>0.1</v>
      </c>
      <c r="BW40" s="79" t="n">
        <f aca="false">IF(BV40=0,0,BS40/SUM(BV$34:BV$41))</f>
        <v>0.1</v>
      </c>
      <c r="BX40" s="88"/>
      <c r="BY40" s="62"/>
      <c r="BZ40" s="62"/>
      <c r="CA40" s="62"/>
      <c r="CB40" s="45" t="str">
        <f aca="false">(IF(CE40="","◄",""))</f>
        <v>◄</v>
      </c>
      <c r="CC40" s="72" t="n">
        <v>0.1</v>
      </c>
      <c r="CD40" s="73" t="n">
        <f aca="false">(IF(BZ40&lt;&gt;"",1/2,0)+IF(CA40&lt;&gt;"",1,0))*CC40*CC$33*20</f>
        <v>0</v>
      </c>
      <c r="CE40" s="48" t="str">
        <f aca="false">IF(COUNTBLANK(BX40:CA40)=3,1,"")</f>
        <v/>
      </c>
      <c r="CF40" s="74" t="n">
        <f aca="false">IF(BX40="",CC40,0)</f>
        <v>0.1</v>
      </c>
      <c r="CG40" s="79" t="n">
        <f aca="false">IF(CF40=0,0,CC40/SUM(CF$34:CF$41))</f>
        <v>0.1</v>
      </c>
      <c r="CH40" s="88"/>
      <c r="CI40" s="62"/>
      <c r="CJ40" s="62"/>
      <c r="CK40" s="62"/>
      <c r="CL40" s="45" t="str">
        <f aca="false">(IF(CO40="","◄",""))</f>
        <v>◄</v>
      </c>
      <c r="CM40" s="72" t="n">
        <v>0.1</v>
      </c>
      <c r="CN40" s="73" t="n">
        <f aca="false">(IF(CJ40&lt;&gt;"",1/2,0)+IF(CK40&lt;&gt;"",1,0))*CM40*CM$33*20</f>
        <v>0</v>
      </c>
      <c r="CO40" s="48" t="str">
        <f aca="false">IF(COUNTBLANK(CH40:CK40)=3,1,"")</f>
        <v/>
      </c>
      <c r="CP40" s="74" t="n">
        <f aca="false">IF(CH40="",CM40,0)</f>
        <v>0.1</v>
      </c>
      <c r="CQ40" s="79" t="n">
        <f aca="false">IF(CP40=0,0,CM40/SUM(CP$34:CP$41))</f>
        <v>0.1</v>
      </c>
      <c r="CR40" s="88"/>
      <c r="CS40" s="62"/>
      <c r="CT40" s="62"/>
      <c r="CU40" s="62"/>
      <c r="CV40" s="45" t="str">
        <f aca="false">(IF(CY40="","◄",""))</f>
        <v>◄</v>
      </c>
      <c r="CW40" s="72" t="n">
        <v>0.1</v>
      </c>
      <c r="CX40" s="73" t="n">
        <f aca="false">(IF(CT40&lt;&gt;"",1/2,0)+IF(CU40&lt;&gt;"",1,0))*CW40*CW$33*20</f>
        <v>0</v>
      </c>
      <c r="CY40" s="48" t="str">
        <f aca="false">IF(COUNTBLANK(CR40:CU40)=3,1,"")</f>
        <v/>
      </c>
      <c r="CZ40" s="74" t="n">
        <f aca="false">IF(CR40="",CW40,0)</f>
        <v>0.1</v>
      </c>
      <c r="DA40" s="79" t="n">
        <f aca="false">IF(CZ40=0,0,CW40/SUM(CZ$34:CZ$41))</f>
        <v>0.1</v>
      </c>
      <c r="DB40" s="88"/>
      <c r="DC40" s="62"/>
      <c r="DD40" s="62"/>
      <c r="DE40" s="62"/>
      <c r="DF40" s="45" t="str">
        <f aca="false">(IF(DI40="","◄",""))</f>
        <v>◄</v>
      </c>
      <c r="DG40" s="72" t="n">
        <v>0.1</v>
      </c>
      <c r="DH40" s="73" t="n">
        <f aca="false">(IF(DD40&lt;&gt;"",1/2,0)+IF(DE40&lt;&gt;"",1,0))*DG40*DG$33*20</f>
        <v>0</v>
      </c>
      <c r="DI40" s="48" t="str">
        <f aca="false">IF(COUNTBLANK(DB40:DE40)=3,1,"")</f>
        <v/>
      </c>
      <c r="DJ40" s="74" t="n">
        <f aca="false">IF(DB40="",DG40,0)</f>
        <v>0.1</v>
      </c>
      <c r="DK40" s="79" t="n">
        <f aca="false">IF(DJ40=0,0,DG40/SUM(DJ$34:DJ$41))</f>
        <v>0.1</v>
      </c>
      <c r="DL40" s="88"/>
      <c r="DM40" s="62"/>
      <c r="DN40" s="62"/>
      <c r="DO40" s="62"/>
      <c r="DP40" s="45" t="str">
        <f aca="false">(IF(DS40="","◄",""))</f>
        <v>◄</v>
      </c>
      <c r="DQ40" s="72" t="n">
        <v>0.1</v>
      </c>
      <c r="DR40" s="73" t="n">
        <f aca="false">(IF(DN40&lt;&gt;"",1/2,0)+IF(DO40&lt;&gt;"",1,0))*DQ40*DQ$33*20</f>
        <v>0</v>
      </c>
      <c r="DS40" s="48" t="str">
        <f aca="false">IF(COUNTBLANK(DL40:DO40)=3,1,"")</f>
        <v/>
      </c>
      <c r="DT40" s="74" t="n">
        <f aca="false">IF(DL40="",DQ40,0)</f>
        <v>0.1</v>
      </c>
      <c r="DU40" s="79" t="n">
        <f aca="false">IF(DT40=0,0,DQ40/SUM(DT$34:DT$41))</f>
        <v>0.1</v>
      </c>
      <c r="DV40" s="88"/>
      <c r="DW40" s="62"/>
      <c r="DX40" s="62"/>
      <c r="DY40" s="62"/>
      <c r="DZ40" s="45" t="str">
        <f aca="false">(IF(EC40="","◄",""))</f>
        <v>◄</v>
      </c>
      <c r="EA40" s="72" t="n">
        <v>0.1</v>
      </c>
      <c r="EB40" s="73" t="n">
        <f aca="false">(IF(DX40&lt;&gt;"",1/2,0)+IF(DY40&lt;&gt;"",1,0))*EA40*EA$33*20</f>
        <v>0</v>
      </c>
      <c r="EC40" s="48" t="str">
        <f aca="false">IF(COUNTBLANK(DV40:DY40)=3,1,"")</f>
        <v/>
      </c>
      <c r="ED40" s="74" t="n">
        <f aca="false">IF(DV40="",EA40,0)</f>
        <v>0.1</v>
      </c>
      <c r="EE40" s="79" t="n">
        <f aca="false">IF(ED40=0,0,EA40/SUM(ED$34:ED$41))</f>
        <v>0.1</v>
      </c>
      <c r="EF40" s="88"/>
      <c r="EG40" s="62"/>
      <c r="EH40" s="62"/>
      <c r="EI40" s="62"/>
      <c r="EJ40" s="45" t="str">
        <f aca="false">(IF(EM40="","◄",""))</f>
        <v>◄</v>
      </c>
      <c r="EK40" s="72" t="n">
        <v>0.1</v>
      </c>
      <c r="EL40" s="73" t="n">
        <f aca="false">(IF(EH40&lt;&gt;"",1/2,0)+IF(EI40&lt;&gt;"",1,0))*EK40*EK$33*20</f>
        <v>0</v>
      </c>
      <c r="EM40" s="48" t="str">
        <f aca="false">IF(COUNTBLANK(EF40:EI40)=3,1,"")</f>
        <v/>
      </c>
      <c r="EN40" s="74" t="n">
        <f aca="false">IF(EF40="",EK40,0)</f>
        <v>0.1</v>
      </c>
      <c r="EO40" s="79" t="n">
        <f aca="false">IF(EN40=0,0,EK40/SUM(EN$34:EN$41))</f>
        <v>0.1</v>
      </c>
      <c r="EP40" s="88"/>
      <c r="EQ40" s="62"/>
      <c r="ER40" s="62"/>
      <c r="ES40" s="62"/>
      <c r="ET40" s="45" t="str">
        <f aca="false">(IF(EW40="","◄",""))</f>
        <v>◄</v>
      </c>
      <c r="EU40" s="72" t="n">
        <v>0.1</v>
      </c>
      <c r="EV40" s="73" t="n">
        <f aca="false">(IF(ER40&lt;&gt;"",1/2,0)+IF(ES40&lt;&gt;"",1,0))*EU40*EU$33*20</f>
        <v>0</v>
      </c>
      <c r="EW40" s="48" t="str">
        <f aca="false">IF(COUNTBLANK(EP40:ES40)=3,1,"")</f>
        <v/>
      </c>
      <c r="EX40" s="74" t="n">
        <f aca="false">IF(EP40="",EU40,0)</f>
        <v>0.1</v>
      </c>
      <c r="EY40" s="79" t="n">
        <f aca="false">IF(EX40=0,0,EU40/SUM(EX$34:EX$41))</f>
        <v>0.1</v>
      </c>
      <c r="EZ40" s="88"/>
      <c r="FA40" s="62"/>
      <c r="FB40" s="62"/>
      <c r="FC40" s="62"/>
      <c r="FD40" s="45" t="str">
        <f aca="false">(IF(FG40="","◄",""))</f>
        <v>◄</v>
      </c>
      <c r="FE40" s="72" t="n">
        <v>0.1</v>
      </c>
      <c r="FF40" s="73" t="n">
        <f aca="false">(IF(FB40&lt;&gt;"",1/2,0)+IF(FC40&lt;&gt;"",1,0))*FE40*FE$33*20</f>
        <v>0</v>
      </c>
      <c r="FG40" s="48" t="str">
        <f aca="false">IF(COUNTBLANK(EZ40:FC40)=3,1,"")</f>
        <v/>
      </c>
      <c r="FH40" s="74" t="n">
        <f aca="false">IF(EZ40="",FE40,0)</f>
        <v>0.1</v>
      </c>
      <c r="FI40" s="79" t="n">
        <f aca="false">IF(FH40=0,0,FE40/SUM(FH$34:FH$41))</f>
        <v>0.1</v>
      </c>
      <c r="FJ40" s="88"/>
      <c r="FK40" s="62"/>
      <c r="FL40" s="62"/>
      <c r="FM40" s="62"/>
      <c r="FN40" s="45" t="str">
        <f aca="false">(IF(FQ40="","◄",""))</f>
        <v>◄</v>
      </c>
      <c r="FO40" s="72" t="n">
        <v>0.1</v>
      </c>
      <c r="FP40" s="73" t="n">
        <f aca="false">(IF(FL40&lt;&gt;"",1/2,0)+IF(FM40&lt;&gt;"",1,0))*FO40*FO$33*20</f>
        <v>0</v>
      </c>
      <c r="FQ40" s="48" t="str">
        <f aca="false">IF(COUNTBLANK(FJ40:FM40)=3,1,"")</f>
        <v/>
      </c>
      <c r="FR40" s="74" t="n">
        <f aca="false">IF(FJ40="",FO40,0)</f>
        <v>0.1</v>
      </c>
      <c r="FS40" s="79" t="n">
        <f aca="false">IF(FR40=0,0,FO40/SUM(FR$34:FR$41))</f>
        <v>0.1</v>
      </c>
      <c r="FT40" s="88"/>
      <c r="FU40" s="62"/>
      <c r="FV40" s="62"/>
      <c r="FW40" s="62"/>
      <c r="FX40" s="45" t="str">
        <f aca="false">(IF(GA40="","◄",""))</f>
        <v>◄</v>
      </c>
      <c r="FY40" s="72" t="n">
        <v>0.1</v>
      </c>
      <c r="FZ40" s="73" t="n">
        <f aca="false">(IF(FV40&lt;&gt;"",1/2,0)+IF(FW40&lt;&gt;"",1,0))*FY40*FY$33*20</f>
        <v>0</v>
      </c>
      <c r="GA40" s="48" t="str">
        <f aca="false">IF(COUNTBLANK(FT40:FW40)=3,1,"")</f>
        <v/>
      </c>
      <c r="GB40" s="74" t="n">
        <f aca="false">IF(FT40="",FY40,0)</f>
        <v>0.1</v>
      </c>
      <c r="GC40" s="79" t="n">
        <f aca="false">IF(GB40=0,0,FY40/SUM(GB$34:GB$41))</f>
        <v>0.1</v>
      </c>
      <c r="GD40" s="88"/>
      <c r="GE40" s="62"/>
      <c r="GF40" s="62"/>
      <c r="GG40" s="62"/>
      <c r="GH40" s="45" t="str">
        <f aca="false">(IF(GK40="","◄",""))</f>
        <v>◄</v>
      </c>
      <c r="GI40" s="72" t="n">
        <v>0.1</v>
      </c>
      <c r="GJ40" s="73" t="n">
        <f aca="false">(IF(GF40&lt;&gt;"",1/2,0)+IF(GG40&lt;&gt;"",1,0))*GI40*GI$33*20</f>
        <v>0</v>
      </c>
      <c r="GK40" s="48" t="str">
        <f aca="false">IF(COUNTBLANK(GD40:GG40)=3,1,"")</f>
        <v/>
      </c>
      <c r="GL40" s="74" t="n">
        <f aca="false">IF(GD40="",GI40,0)</f>
        <v>0.1</v>
      </c>
      <c r="GM40" s="79" t="n">
        <f aca="false">IF(GL40=0,0,GI40/SUM(GL$34:GL$41))</f>
        <v>0.1</v>
      </c>
      <c r="GN40" s="88"/>
      <c r="GO40" s="62"/>
      <c r="GP40" s="62"/>
      <c r="GQ40" s="62"/>
      <c r="GR40" s="45" t="str">
        <f aca="false">(IF(GU40="","◄",""))</f>
        <v>◄</v>
      </c>
      <c r="GS40" s="72" t="n">
        <v>0.1</v>
      </c>
      <c r="GT40" s="73" t="n">
        <f aca="false">(IF(GP40&lt;&gt;"",1/2,0)+IF(GQ40&lt;&gt;"",1,0))*GS40*GS$33*20</f>
        <v>0</v>
      </c>
      <c r="GU40" s="48" t="str">
        <f aca="false">IF(COUNTBLANK(GN40:GQ40)=3,1,"")</f>
        <v/>
      </c>
      <c r="GV40" s="74" t="n">
        <f aca="false">IF(GN40="",GS40,0)</f>
        <v>0.1</v>
      </c>
      <c r="GW40" s="79" t="n">
        <f aca="false">IF(GV40=0,0,GS40/SUM(GV$34:GV$41))</f>
        <v>0.1</v>
      </c>
      <c r="GX40" s="88"/>
      <c r="GY40" s="62"/>
      <c r="GZ40" s="62"/>
      <c r="HA40" s="62"/>
      <c r="HB40" s="45" t="str">
        <f aca="false">(IF(HE40="","◄",""))</f>
        <v>◄</v>
      </c>
      <c r="HC40" s="72" t="n">
        <v>0.1</v>
      </c>
      <c r="HD40" s="73" t="n">
        <f aca="false">(IF(GZ40&lt;&gt;"",1/2,0)+IF(HA40&lt;&gt;"",1,0))*HC40*HC$33*20</f>
        <v>0</v>
      </c>
      <c r="HE40" s="48" t="str">
        <f aca="false">IF(COUNTBLANK(GX40:HA40)=3,1,"")</f>
        <v/>
      </c>
      <c r="HF40" s="74" t="n">
        <f aca="false">IF(GX40="",HC40,0)</f>
        <v>0.1</v>
      </c>
      <c r="HG40" s="79" t="n">
        <f aca="false">IF(HF40=0,0,HC40/SUM(HF$34:HF$41))</f>
        <v>0.1</v>
      </c>
      <c r="HH40" s="88"/>
      <c r="HI40" s="62"/>
      <c r="HJ40" s="62"/>
      <c r="HK40" s="62"/>
      <c r="HL40" s="45" t="str">
        <f aca="false">(IF(HO40="","◄",""))</f>
        <v>◄</v>
      </c>
      <c r="HM40" s="72" t="n">
        <v>0.1</v>
      </c>
      <c r="HN40" s="73" t="n">
        <f aca="false">(IF(HJ40&lt;&gt;"",1/2,0)+IF(HK40&lt;&gt;"",1,0))*HM40*HM$33*20</f>
        <v>0</v>
      </c>
      <c r="HO40" s="48" t="str">
        <f aca="false">IF(COUNTBLANK(HH40:HK40)=3,1,"")</f>
        <v/>
      </c>
      <c r="HP40" s="74" t="n">
        <f aca="false">IF(HH40="",HM40,0)</f>
        <v>0.1</v>
      </c>
      <c r="HQ40" s="79" t="n">
        <f aca="false">IF(HP40=0,0,HM40/SUM(HP$34:HP$41))</f>
        <v>0.1</v>
      </c>
      <c r="HR40" s="88"/>
      <c r="HS40" s="62"/>
      <c r="HT40" s="62"/>
      <c r="HU40" s="62"/>
      <c r="HV40" s="45" t="str">
        <f aca="false">(IF(HY40="","◄",""))</f>
        <v>◄</v>
      </c>
      <c r="HW40" s="72" t="n">
        <v>0.1</v>
      </c>
      <c r="HX40" s="73" t="n">
        <f aca="false">(IF(HT40&lt;&gt;"",1/2,0)+IF(HU40&lt;&gt;"",1,0))*HW40*HW$33*20</f>
        <v>0</v>
      </c>
      <c r="HY40" s="48" t="str">
        <f aca="false">IF(COUNTBLANK(HR40:HU40)=3,1,"")</f>
        <v/>
      </c>
      <c r="HZ40" s="74" t="n">
        <f aca="false">IF(HR40="",HW40,0)</f>
        <v>0.1</v>
      </c>
      <c r="IA40" s="79" t="n">
        <f aca="false">IF(HZ40=0,0,HW40/SUM(HZ$34:HZ$41))</f>
        <v>0.1</v>
      </c>
      <c r="IB40" s="88"/>
      <c r="IC40" s="62"/>
      <c r="ID40" s="62"/>
      <c r="IE40" s="62"/>
      <c r="IF40" s="45" t="str">
        <f aca="false">(IF(II40="","◄",""))</f>
        <v>◄</v>
      </c>
      <c r="IG40" s="72" t="n">
        <v>0.1</v>
      </c>
      <c r="IH40" s="73" t="n">
        <f aca="false">(IF(ID40&lt;&gt;"",1/2,0)+IF(IE40&lt;&gt;"",1,0))*IG40*IG$33*20</f>
        <v>0</v>
      </c>
      <c r="II40" s="48" t="str">
        <f aca="false">IF(COUNTBLANK(IB40:IE40)=3,1,"")</f>
        <v/>
      </c>
      <c r="IJ40" s="74" t="n">
        <f aca="false">IF(IB40="",IG40,0)</f>
        <v>0.1</v>
      </c>
      <c r="IK40" s="79" t="n">
        <f aca="false">IF(IJ40=0,0,IG40/SUM(IJ$34:IJ$41))</f>
        <v>0.1</v>
      </c>
    </row>
    <row r="41" customFormat="false" ht="49.5" hidden="false" customHeight="true" outlineLevel="0" collapsed="false">
      <c r="A41" s="83"/>
      <c r="B41" s="81"/>
      <c r="C41" s="89"/>
      <c r="D41" s="52"/>
      <c r="E41" s="53" t="s">
        <v>94</v>
      </c>
      <c r="F41" s="88"/>
      <c r="G41" s="62"/>
      <c r="H41" s="62"/>
      <c r="I41" s="62"/>
      <c r="J41" s="45" t="str">
        <f aca="false">(IF(M41="","◄",""))</f>
        <v>◄</v>
      </c>
      <c r="K41" s="72" t="n">
        <v>0.1</v>
      </c>
      <c r="L41" s="73" t="n">
        <f aca="false">(IF(H41&lt;&gt;"",1/2,0)+IF(I41&lt;&gt;"",1,0))*K41*K$33*20</f>
        <v>0</v>
      </c>
      <c r="M41" s="48" t="str">
        <f aca="false">IF(COUNTBLANK(F41:I41)=3,1,"")</f>
        <v/>
      </c>
      <c r="N41" s="74" t="n">
        <f aca="false">IF(F41="",K41,0)</f>
        <v>0.1</v>
      </c>
      <c r="O41" s="79" t="n">
        <f aca="false">IF(N41=0,0,K41/SUM(N$34:N$41))</f>
        <v>0.1</v>
      </c>
      <c r="P41" s="88"/>
      <c r="Q41" s="62"/>
      <c r="R41" s="62"/>
      <c r="S41" s="62"/>
      <c r="T41" s="45" t="str">
        <f aca="false">(IF(W41="","◄",""))</f>
        <v>◄</v>
      </c>
      <c r="U41" s="72" t="n">
        <v>0.1</v>
      </c>
      <c r="V41" s="73" t="n">
        <f aca="false">(IF(R41&lt;&gt;"",1/2,0)+IF(S41&lt;&gt;"",1,0))*U41*U$33*20</f>
        <v>0</v>
      </c>
      <c r="W41" s="48" t="str">
        <f aca="false">IF(COUNTBLANK(P41:S41)=3,1,"")</f>
        <v/>
      </c>
      <c r="X41" s="74" t="n">
        <f aca="false">IF(P41="",U41,0)</f>
        <v>0.1</v>
      </c>
      <c r="Y41" s="79" t="n">
        <f aca="false">IF(X41=0,0,U41/SUM(X$34:X$41))</f>
        <v>0.1</v>
      </c>
      <c r="Z41" s="88"/>
      <c r="AA41" s="62"/>
      <c r="AB41" s="62"/>
      <c r="AC41" s="62"/>
      <c r="AD41" s="45" t="str">
        <f aca="false">(IF(AG41="","◄",""))</f>
        <v>◄</v>
      </c>
      <c r="AE41" s="72" t="n">
        <v>0.1</v>
      </c>
      <c r="AF41" s="73" t="n">
        <f aca="false">(IF(AB41&lt;&gt;"",1/2,0)+IF(AC41&lt;&gt;"",1,0))*AE41*AE$33*20</f>
        <v>0</v>
      </c>
      <c r="AG41" s="48" t="str">
        <f aca="false">IF(COUNTBLANK(Z41:AC41)=3,1,"")</f>
        <v/>
      </c>
      <c r="AH41" s="74" t="n">
        <f aca="false">IF(Z41="",AE41,0)</f>
        <v>0.1</v>
      </c>
      <c r="AI41" s="79" t="n">
        <f aca="false">IF(AH41=0,0,AE41/SUM(AH$34:AH$41))</f>
        <v>0.1</v>
      </c>
      <c r="AJ41" s="88"/>
      <c r="AK41" s="62"/>
      <c r="AL41" s="62"/>
      <c r="AM41" s="62"/>
      <c r="AN41" s="45" t="str">
        <f aca="false">(IF(AQ41="","◄",""))</f>
        <v>◄</v>
      </c>
      <c r="AO41" s="72" t="n">
        <v>0.1</v>
      </c>
      <c r="AP41" s="73" t="n">
        <f aca="false">(IF(AL41&lt;&gt;"",1/2,0)+IF(AM41&lt;&gt;"",1,0))*AO41*AO$33*20</f>
        <v>0</v>
      </c>
      <c r="AQ41" s="48" t="str">
        <f aca="false">IF(COUNTBLANK(AJ41:AM41)=3,1,"")</f>
        <v/>
      </c>
      <c r="AR41" s="74" t="n">
        <f aca="false">IF(AJ41="",AO41,0)</f>
        <v>0.1</v>
      </c>
      <c r="AS41" s="79" t="n">
        <f aca="false">IF(AR41=0,0,AO41/SUM(AR$34:AR$41))</f>
        <v>0.1</v>
      </c>
      <c r="AT41" s="88"/>
      <c r="AU41" s="62"/>
      <c r="AV41" s="62"/>
      <c r="AW41" s="62"/>
      <c r="AX41" s="45" t="str">
        <f aca="false">(IF(BA41="","◄",""))</f>
        <v>◄</v>
      </c>
      <c r="AY41" s="72" t="n">
        <v>0.1</v>
      </c>
      <c r="AZ41" s="73" t="n">
        <f aca="false">(IF(AV41&lt;&gt;"",1/2,0)+IF(AW41&lt;&gt;"",1,0))*AY41*AY$33*20</f>
        <v>0</v>
      </c>
      <c r="BA41" s="48" t="str">
        <f aca="false">IF(COUNTBLANK(AT41:AW41)=3,1,"")</f>
        <v/>
      </c>
      <c r="BB41" s="74" t="n">
        <f aca="false">IF(AT41="",AY41,0)</f>
        <v>0.1</v>
      </c>
      <c r="BC41" s="79" t="n">
        <f aca="false">IF(BB41=0,0,AY41/SUM(BB$34:BB$41))</f>
        <v>0.1</v>
      </c>
      <c r="BD41" s="88"/>
      <c r="BE41" s="62"/>
      <c r="BF41" s="62"/>
      <c r="BG41" s="62"/>
      <c r="BH41" s="45" t="str">
        <f aca="false">(IF(BK41="","◄",""))</f>
        <v>◄</v>
      </c>
      <c r="BI41" s="72" t="n">
        <v>0.1</v>
      </c>
      <c r="BJ41" s="73" t="n">
        <f aca="false">(IF(BF41&lt;&gt;"",1/2,0)+IF(BG41&lt;&gt;"",1,0))*BI41*BI$33*20</f>
        <v>0</v>
      </c>
      <c r="BK41" s="48" t="str">
        <f aca="false">IF(COUNTBLANK(BD41:BG41)=3,1,"")</f>
        <v/>
      </c>
      <c r="BL41" s="74" t="n">
        <f aca="false">IF(BD41="",BI41,0)</f>
        <v>0.1</v>
      </c>
      <c r="BM41" s="79" t="n">
        <f aca="false">IF(BL41=0,0,BI41/SUM(BL$34:BL$41))</f>
        <v>0.1</v>
      </c>
      <c r="BN41" s="88"/>
      <c r="BO41" s="62"/>
      <c r="BP41" s="62"/>
      <c r="BQ41" s="62"/>
      <c r="BR41" s="45" t="str">
        <f aca="false">(IF(BU41="","◄",""))</f>
        <v>◄</v>
      </c>
      <c r="BS41" s="72" t="n">
        <v>0.1</v>
      </c>
      <c r="BT41" s="73" t="n">
        <f aca="false">(IF(BP41&lt;&gt;"",1/2,0)+IF(BQ41&lt;&gt;"",1,0))*BS41*BS$33*20</f>
        <v>0</v>
      </c>
      <c r="BU41" s="48" t="str">
        <f aca="false">IF(COUNTBLANK(BN41:BQ41)=3,1,"")</f>
        <v/>
      </c>
      <c r="BV41" s="74" t="n">
        <f aca="false">IF(BN41="",BS41,0)</f>
        <v>0.1</v>
      </c>
      <c r="BW41" s="79" t="n">
        <f aca="false">IF(BV41=0,0,BS41/SUM(BV$34:BV$41))</f>
        <v>0.1</v>
      </c>
      <c r="BX41" s="88"/>
      <c r="BY41" s="62"/>
      <c r="BZ41" s="62"/>
      <c r="CA41" s="62"/>
      <c r="CB41" s="45" t="str">
        <f aca="false">(IF(CE41="","◄",""))</f>
        <v>◄</v>
      </c>
      <c r="CC41" s="72" t="n">
        <v>0.1</v>
      </c>
      <c r="CD41" s="73" t="n">
        <f aca="false">(IF(BZ41&lt;&gt;"",1/2,0)+IF(CA41&lt;&gt;"",1,0))*CC41*CC$33*20</f>
        <v>0</v>
      </c>
      <c r="CE41" s="48" t="str">
        <f aca="false">IF(COUNTBLANK(BX41:CA41)=3,1,"")</f>
        <v/>
      </c>
      <c r="CF41" s="74" t="n">
        <f aca="false">IF(BX41="",CC41,0)</f>
        <v>0.1</v>
      </c>
      <c r="CG41" s="79" t="n">
        <f aca="false">IF(CF41=0,0,CC41/SUM(CF$34:CF$41))</f>
        <v>0.1</v>
      </c>
      <c r="CH41" s="88"/>
      <c r="CI41" s="62"/>
      <c r="CJ41" s="62"/>
      <c r="CK41" s="62"/>
      <c r="CL41" s="45" t="str">
        <f aca="false">(IF(CO41="","◄",""))</f>
        <v>◄</v>
      </c>
      <c r="CM41" s="72" t="n">
        <v>0.1</v>
      </c>
      <c r="CN41" s="73" t="n">
        <f aca="false">(IF(CJ41&lt;&gt;"",1/2,0)+IF(CK41&lt;&gt;"",1,0))*CM41*CM$33*20</f>
        <v>0</v>
      </c>
      <c r="CO41" s="48" t="str">
        <f aca="false">IF(COUNTBLANK(CH41:CK41)=3,1,"")</f>
        <v/>
      </c>
      <c r="CP41" s="74" t="n">
        <f aca="false">IF(CH41="",CM41,0)</f>
        <v>0.1</v>
      </c>
      <c r="CQ41" s="79" t="n">
        <f aca="false">IF(CP41=0,0,CM41/SUM(CP$34:CP$41))</f>
        <v>0.1</v>
      </c>
      <c r="CR41" s="88"/>
      <c r="CS41" s="62"/>
      <c r="CT41" s="62"/>
      <c r="CU41" s="62"/>
      <c r="CV41" s="45" t="str">
        <f aca="false">(IF(CY41="","◄",""))</f>
        <v>◄</v>
      </c>
      <c r="CW41" s="72" t="n">
        <v>0.1</v>
      </c>
      <c r="CX41" s="73" t="n">
        <f aca="false">(IF(CT41&lt;&gt;"",1/2,0)+IF(CU41&lt;&gt;"",1,0))*CW41*CW$33*20</f>
        <v>0</v>
      </c>
      <c r="CY41" s="48" t="str">
        <f aca="false">IF(COUNTBLANK(CR41:CU41)=3,1,"")</f>
        <v/>
      </c>
      <c r="CZ41" s="74" t="n">
        <f aca="false">IF(CR41="",CW41,0)</f>
        <v>0.1</v>
      </c>
      <c r="DA41" s="79" t="n">
        <f aca="false">IF(CZ41=0,0,CW41/SUM(CZ$34:CZ$41))</f>
        <v>0.1</v>
      </c>
      <c r="DB41" s="88"/>
      <c r="DC41" s="62"/>
      <c r="DD41" s="62"/>
      <c r="DE41" s="62"/>
      <c r="DF41" s="45" t="str">
        <f aca="false">(IF(DI41="","◄",""))</f>
        <v>◄</v>
      </c>
      <c r="DG41" s="72" t="n">
        <v>0.1</v>
      </c>
      <c r="DH41" s="73" t="n">
        <f aca="false">(IF(DD41&lt;&gt;"",1/2,0)+IF(DE41&lt;&gt;"",1,0))*DG41*DG$33*20</f>
        <v>0</v>
      </c>
      <c r="DI41" s="48" t="str">
        <f aca="false">IF(COUNTBLANK(DB41:DE41)=3,1,"")</f>
        <v/>
      </c>
      <c r="DJ41" s="74" t="n">
        <f aca="false">IF(DB41="",DG41,0)</f>
        <v>0.1</v>
      </c>
      <c r="DK41" s="79" t="n">
        <f aca="false">IF(DJ41=0,0,DG41/SUM(DJ$34:DJ$41))</f>
        <v>0.1</v>
      </c>
      <c r="DL41" s="88"/>
      <c r="DM41" s="62"/>
      <c r="DN41" s="62"/>
      <c r="DO41" s="62"/>
      <c r="DP41" s="45" t="str">
        <f aca="false">(IF(DS41="","◄",""))</f>
        <v>◄</v>
      </c>
      <c r="DQ41" s="72" t="n">
        <v>0.1</v>
      </c>
      <c r="DR41" s="73" t="n">
        <f aca="false">(IF(DN41&lt;&gt;"",1/2,0)+IF(DO41&lt;&gt;"",1,0))*DQ41*DQ$33*20</f>
        <v>0</v>
      </c>
      <c r="DS41" s="48" t="str">
        <f aca="false">IF(COUNTBLANK(DL41:DO41)=3,1,"")</f>
        <v/>
      </c>
      <c r="DT41" s="74" t="n">
        <f aca="false">IF(DL41="",DQ41,0)</f>
        <v>0.1</v>
      </c>
      <c r="DU41" s="79" t="n">
        <f aca="false">IF(DT41=0,0,DQ41/SUM(DT$34:DT$41))</f>
        <v>0.1</v>
      </c>
      <c r="DV41" s="88"/>
      <c r="DW41" s="62"/>
      <c r="DX41" s="62"/>
      <c r="DY41" s="62"/>
      <c r="DZ41" s="45" t="str">
        <f aca="false">(IF(EC41="","◄",""))</f>
        <v>◄</v>
      </c>
      <c r="EA41" s="72" t="n">
        <v>0.1</v>
      </c>
      <c r="EB41" s="73" t="n">
        <f aca="false">(IF(DX41&lt;&gt;"",1/2,0)+IF(DY41&lt;&gt;"",1,0))*EA41*EA$33*20</f>
        <v>0</v>
      </c>
      <c r="EC41" s="48" t="str">
        <f aca="false">IF(COUNTBLANK(DV41:DY41)=3,1,"")</f>
        <v/>
      </c>
      <c r="ED41" s="74" t="n">
        <f aca="false">IF(DV41="",EA41,0)</f>
        <v>0.1</v>
      </c>
      <c r="EE41" s="79" t="n">
        <f aca="false">IF(ED41=0,0,EA41/SUM(ED$34:ED$41))</f>
        <v>0.1</v>
      </c>
      <c r="EF41" s="88"/>
      <c r="EG41" s="62"/>
      <c r="EH41" s="62"/>
      <c r="EI41" s="62"/>
      <c r="EJ41" s="45" t="str">
        <f aca="false">(IF(EM41="","◄",""))</f>
        <v>◄</v>
      </c>
      <c r="EK41" s="72" t="n">
        <v>0.1</v>
      </c>
      <c r="EL41" s="73" t="n">
        <f aca="false">(IF(EH41&lt;&gt;"",1/2,0)+IF(EI41&lt;&gt;"",1,0))*EK41*EK$33*20</f>
        <v>0</v>
      </c>
      <c r="EM41" s="48" t="str">
        <f aca="false">IF(COUNTBLANK(EF41:EI41)=3,1,"")</f>
        <v/>
      </c>
      <c r="EN41" s="74" t="n">
        <f aca="false">IF(EF41="",EK41,0)</f>
        <v>0.1</v>
      </c>
      <c r="EO41" s="79" t="n">
        <f aca="false">IF(EN41=0,0,EK41/SUM(EN$34:EN$41))</f>
        <v>0.1</v>
      </c>
      <c r="EP41" s="88"/>
      <c r="EQ41" s="62"/>
      <c r="ER41" s="62"/>
      <c r="ES41" s="62"/>
      <c r="ET41" s="45" t="str">
        <f aca="false">(IF(EW41="","◄",""))</f>
        <v>◄</v>
      </c>
      <c r="EU41" s="72" t="n">
        <v>0.1</v>
      </c>
      <c r="EV41" s="73" t="n">
        <f aca="false">(IF(ER41&lt;&gt;"",1/2,0)+IF(ES41&lt;&gt;"",1,0))*EU41*EU$33*20</f>
        <v>0</v>
      </c>
      <c r="EW41" s="48" t="str">
        <f aca="false">IF(COUNTBLANK(EP41:ES41)=3,1,"")</f>
        <v/>
      </c>
      <c r="EX41" s="74" t="n">
        <f aca="false">IF(EP41="",EU41,0)</f>
        <v>0.1</v>
      </c>
      <c r="EY41" s="79" t="n">
        <f aca="false">IF(EX41=0,0,EU41/SUM(EX$34:EX$41))</f>
        <v>0.1</v>
      </c>
      <c r="EZ41" s="88"/>
      <c r="FA41" s="62"/>
      <c r="FB41" s="62"/>
      <c r="FC41" s="62"/>
      <c r="FD41" s="45" t="str">
        <f aca="false">(IF(FG41="","◄",""))</f>
        <v>◄</v>
      </c>
      <c r="FE41" s="72" t="n">
        <v>0.1</v>
      </c>
      <c r="FF41" s="73" t="n">
        <f aca="false">(IF(FB41&lt;&gt;"",1/2,0)+IF(FC41&lt;&gt;"",1,0))*FE41*FE$33*20</f>
        <v>0</v>
      </c>
      <c r="FG41" s="48" t="str">
        <f aca="false">IF(COUNTBLANK(EZ41:FC41)=3,1,"")</f>
        <v/>
      </c>
      <c r="FH41" s="74" t="n">
        <f aca="false">IF(EZ41="",FE41,0)</f>
        <v>0.1</v>
      </c>
      <c r="FI41" s="79" t="n">
        <f aca="false">IF(FH41=0,0,FE41/SUM(FH$34:FH$41))</f>
        <v>0.1</v>
      </c>
      <c r="FJ41" s="88"/>
      <c r="FK41" s="62"/>
      <c r="FL41" s="62"/>
      <c r="FM41" s="62"/>
      <c r="FN41" s="45" t="str">
        <f aca="false">(IF(FQ41="","◄",""))</f>
        <v>◄</v>
      </c>
      <c r="FO41" s="72" t="n">
        <v>0.1</v>
      </c>
      <c r="FP41" s="73" t="n">
        <f aca="false">(IF(FL41&lt;&gt;"",1/2,0)+IF(FM41&lt;&gt;"",1,0))*FO41*FO$33*20</f>
        <v>0</v>
      </c>
      <c r="FQ41" s="48" t="str">
        <f aca="false">IF(COUNTBLANK(FJ41:FM41)=3,1,"")</f>
        <v/>
      </c>
      <c r="FR41" s="74" t="n">
        <f aca="false">IF(FJ41="",FO41,0)</f>
        <v>0.1</v>
      </c>
      <c r="FS41" s="79" t="n">
        <f aca="false">IF(FR41=0,0,FO41/SUM(FR$34:FR$41))</f>
        <v>0.1</v>
      </c>
      <c r="FT41" s="88"/>
      <c r="FU41" s="62"/>
      <c r="FV41" s="62"/>
      <c r="FW41" s="62"/>
      <c r="FX41" s="45" t="str">
        <f aca="false">(IF(GA41="","◄",""))</f>
        <v>◄</v>
      </c>
      <c r="FY41" s="72" t="n">
        <v>0.1</v>
      </c>
      <c r="FZ41" s="73" t="n">
        <f aca="false">(IF(FV41&lt;&gt;"",1/2,0)+IF(FW41&lt;&gt;"",1,0))*FY41*FY$33*20</f>
        <v>0</v>
      </c>
      <c r="GA41" s="48" t="str">
        <f aca="false">IF(COUNTBLANK(FT41:FW41)=3,1,"")</f>
        <v/>
      </c>
      <c r="GB41" s="74" t="n">
        <f aca="false">IF(FT41="",FY41,0)</f>
        <v>0.1</v>
      </c>
      <c r="GC41" s="79" t="n">
        <f aca="false">IF(GB41=0,0,FY41/SUM(GB$34:GB$41))</f>
        <v>0.1</v>
      </c>
      <c r="GD41" s="88"/>
      <c r="GE41" s="62"/>
      <c r="GF41" s="62"/>
      <c r="GG41" s="62"/>
      <c r="GH41" s="45" t="str">
        <f aca="false">(IF(GK41="","◄",""))</f>
        <v>◄</v>
      </c>
      <c r="GI41" s="72" t="n">
        <v>0.1</v>
      </c>
      <c r="GJ41" s="73" t="n">
        <f aca="false">(IF(GF41&lt;&gt;"",1/2,0)+IF(GG41&lt;&gt;"",1,0))*GI41*GI$33*20</f>
        <v>0</v>
      </c>
      <c r="GK41" s="48" t="str">
        <f aca="false">IF(COUNTBLANK(GD41:GG41)=3,1,"")</f>
        <v/>
      </c>
      <c r="GL41" s="74" t="n">
        <f aca="false">IF(GD41="",GI41,0)</f>
        <v>0.1</v>
      </c>
      <c r="GM41" s="79" t="n">
        <f aca="false">IF(GL41=0,0,GI41/SUM(GL$34:GL$41))</f>
        <v>0.1</v>
      </c>
      <c r="GN41" s="88"/>
      <c r="GO41" s="62"/>
      <c r="GP41" s="62"/>
      <c r="GQ41" s="62"/>
      <c r="GR41" s="45" t="str">
        <f aca="false">(IF(GU41="","◄",""))</f>
        <v>◄</v>
      </c>
      <c r="GS41" s="72" t="n">
        <v>0.1</v>
      </c>
      <c r="GT41" s="73" t="n">
        <f aca="false">(IF(GP41&lt;&gt;"",1/2,0)+IF(GQ41&lt;&gt;"",1,0))*GS41*GS$33*20</f>
        <v>0</v>
      </c>
      <c r="GU41" s="48" t="str">
        <f aca="false">IF(COUNTBLANK(GN41:GQ41)=3,1,"")</f>
        <v/>
      </c>
      <c r="GV41" s="74" t="n">
        <f aca="false">IF(GN41="",GS41,0)</f>
        <v>0.1</v>
      </c>
      <c r="GW41" s="79" t="n">
        <f aca="false">IF(GV41=0,0,GS41/SUM(GV$34:GV$41))</f>
        <v>0.1</v>
      </c>
      <c r="GX41" s="88"/>
      <c r="GY41" s="62"/>
      <c r="GZ41" s="62"/>
      <c r="HA41" s="62"/>
      <c r="HB41" s="45" t="str">
        <f aca="false">(IF(HE41="","◄",""))</f>
        <v>◄</v>
      </c>
      <c r="HC41" s="72" t="n">
        <v>0.1</v>
      </c>
      <c r="HD41" s="73" t="n">
        <f aca="false">(IF(GZ41&lt;&gt;"",1/2,0)+IF(HA41&lt;&gt;"",1,0))*HC41*HC$33*20</f>
        <v>0</v>
      </c>
      <c r="HE41" s="48" t="str">
        <f aca="false">IF(COUNTBLANK(GX41:HA41)=3,1,"")</f>
        <v/>
      </c>
      <c r="HF41" s="74" t="n">
        <f aca="false">IF(GX41="",HC41,0)</f>
        <v>0.1</v>
      </c>
      <c r="HG41" s="79" t="n">
        <f aca="false">IF(HF41=0,0,HC41/SUM(HF$34:HF$41))</f>
        <v>0.1</v>
      </c>
      <c r="HH41" s="88"/>
      <c r="HI41" s="62"/>
      <c r="HJ41" s="62"/>
      <c r="HK41" s="62"/>
      <c r="HL41" s="45" t="str">
        <f aca="false">(IF(HO41="","◄",""))</f>
        <v>◄</v>
      </c>
      <c r="HM41" s="72" t="n">
        <v>0.1</v>
      </c>
      <c r="HN41" s="73" t="n">
        <f aca="false">(IF(HJ41&lt;&gt;"",1/2,0)+IF(HK41&lt;&gt;"",1,0))*HM41*HM$33*20</f>
        <v>0</v>
      </c>
      <c r="HO41" s="48" t="str">
        <f aca="false">IF(COUNTBLANK(HH41:HK41)=3,1,"")</f>
        <v/>
      </c>
      <c r="HP41" s="74" t="n">
        <f aca="false">IF(HH41="",HM41,0)</f>
        <v>0.1</v>
      </c>
      <c r="HQ41" s="79" t="n">
        <f aca="false">IF(HP41=0,0,HM41/SUM(HP$34:HP$41))</f>
        <v>0.1</v>
      </c>
      <c r="HR41" s="88"/>
      <c r="HS41" s="62"/>
      <c r="HT41" s="62"/>
      <c r="HU41" s="62"/>
      <c r="HV41" s="45" t="str">
        <f aca="false">(IF(HY41="","◄",""))</f>
        <v>◄</v>
      </c>
      <c r="HW41" s="72" t="n">
        <v>0.1</v>
      </c>
      <c r="HX41" s="73" t="n">
        <f aca="false">(IF(HT41&lt;&gt;"",1/2,0)+IF(HU41&lt;&gt;"",1,0))*HW41*HW$33*20</f>
        <v>0</v>
      </c>
      <c r="HY41" s="48" t="str">
        <f aca="false">IF(COUNTBLANK(HR41:HU41)=3,1,"")</f>
        <v/>
      </c>
      <c r="HZ41" s="74" t="n">
        <f aca="false">IF(HR41="",HW41,0)</f>
        <v>0.1</v>
      </c>
      <c r="IA41" s="79" t="n">
        <f aca="false">IF(HZ41=0,0,HW41/SUM(HZ$34:HZ$41))</f>
        <v>0.1</v>
      </c>
      <c r="IB41" s="88"/>
      <c r="IC41" s="62"/>
      <c r="ID41" s="62"/>
      <c r="IE41" s="62"/>
      <c r="IF41" s="45" t="str">
        <f aca="false">(IF(II41="","◄",""))</f>
        <v>◄</v>
      </c>
      <c r="IG41" s="72" t="n">
        <v>0.1</v>
      </c>
      <c r="IH41" s="73" t="n">
        <f aca="false">(IF(ID41&lt;&gt;"",1/2,0)+IF(IE41&lt;&gt;"",1,0))*IG41*IG$33*20</f>
        <v>0</v>
      </c>
      <c r="II41" s="48" t="str">
        <f aca="false">IF(COUNTBLANK(IB41:IE41)=3,1,"")</f>
        <v/>
      </c>
      <c r="IJ41" s="74" t="n">
        <f aca="false">IF(IB41="",IG41,0)</f>
        <v>0.1</v>
      </c>
      <c r="IK41" s="79" t="n">
        <f aca="false">IF(IJ41=0,0,IG41/SUM(IJ$34:IJ$41))</f>
        <v>0.1</v>
      </c>
    </row>
    <row r="42" customFormat="false" ht="24.75" hidden="false" customHeight="true" outlineLevel="0" collapsed="false">
      <c r="A42" s="83"/>
      <c r="B42" s="81"/>
      <c r="C42" s="89"/>
      <c r="E42" s="91"/>
      <c r="F42" s="92"/>
      <c r="G42" s="92"/>
      <c r="H42" s="92"/>
      <c r="I42" s="92"/>
      <c r="J42" s="93"/>
      <c r="K42" s="94" t="n">
        <f aca="false">SUM(N4:N10)*K3+SUM(N12:N19)*K11+SUM(N21:N24)*K20+SUM(N26:N32)*K25+SUM(N34:N41)*K33</f>
        <v>0.975</v>
      </c>
      <c r="L42" s="95"/>
      <c r="M42" s="96"/>
      <c r="P42" s="92"/>
      <c r="Q42" s="92"/>
      <c r="R42" s="92"/>
      <c r="S42" s="92"/>
      <c r="T42" s="93"/>
      <c r="U42" s="94" t="n">
        <f aca="false">SUM(X4:X10)*U3+SUM(X12:X19)*U11+SUM(X21:X24)*U20+SUM(X26:X32)*U25+SUM(X34:X41)*U33</f>
        <v>0.975</v>
      </c>
      <c r="V42" s="95"/>
      <c r="W42" s="96"/>
      <c r="Z42" s="92"/>
      <c r="AA42" s="92"/>
      <c r="AB42" s="92"/>
      <c r="AC42" s="92"/>
      <c r="AD42" s="93"/>
      <c r="AE42" s="94" t="n">
        <f aca="false">SUM(AH4:AH10)*AE3+SUM(AH12:AH19)*AE11+SUM(AH21:AH24)*AE20+SUM(AH26:AH32)*AE25+SUM(AH34:AH41)*AE33</f>
        <v>0.975</v>
      </c>
      <c r="AF42" s="95"/>
      <c r="AG42" s="96"/>
      <c r="AJ42" s="92"/>
      <c r="AK42" s="92"/>
      <c r="AL42" s="92"/>
      <c r="AM42" s="92"/>
      <c r="AN42" s="93"/>
      <c r="AO42" s="94" t="n">
        <f aca="false">SUM(AR4:AR10)*AO3+SUM(AR12:AR19)*AO11+SUM(AR21:AR24)*AO20+SUM(AR26:AR32)*AO25+SUM(AR34:AR41)*AO33</f>
        <v>0.975</v>
      </c>
      <c r="AP42" s="95"/>
      <c r="AQ42" s="96"/>
      <c r="AT42" s="92"/>
      <c r="AU42" s="92"/>
      <c r="AV42" s="92"/>
      <c r="AW42" s="92"/>
      <c r="AX42" s="93"/>
      <c r="AY42" s="94" t="n">
        <f aca="false">SUM(BB4:BB10)*AY3+SUM(BB12:BB19)*AY11+SUM(BB21:BB24)*AY20+SUM(BB26:BB32)*AY25+SUM(BB34:BB41)*AY33</f>
        <v>0.975</v>
      </c>
      <c r="AZ42" s="95"/>
      <c r="BA42" s="96"/>
      <c r="BD42" s="92"/>
      <c r="BE42" s="92"/>
      <c r="BF42" s="92"/>
      <c r="BG42" s="92"/>
      <c r="BH42" s="93"/>
      <c r="BI42" s="94" t="n">
        <f aca="false">SUM(BL4:BL10)*BI3+SUM(BL12:BL19)*BI11+SUM(BL21:BL24)*BI20+SUM(BL26:BL32)*BI25+SUM(BL34:BL41)*BI33</f>
        <v>0.975</v>
      </c>
      <c r="BJ42" s="95"/>
      <c r="BK42" s="96"/>
      <c r="BN42" s="92"/>
      <c r="BO42" s="92"/>
      <c r="BP42" s="92"/>
      <c r="BQ42" s="92"/>
      <c r="BR42" s="93"/>
      <c r="BS42" s="94" t="n">
        <f aca="false">SUM(BV4:BV10)*BS3+SUM(BV12:BV19)*BS11+SUM(BV21:BV24)*BS20+SUM(BV26:BV32)*BS25+SUM(BV34:BV41)*BS33</f>
        <v>0.975</v>
      </c>
      <c r="BT42" s="95"/>
      <c r="BU42" s="96"/>
      <c r="BX42" s="92"/>
      <c r="BY42" s="92"/>
      <c r="BZ42" s="92"/>
      <c r="CA42" s="92"/>
      <c r="CB42" s="93"/>
      <c r="CC42" s="94" t="n">
        <f aca="false">SUM(CF4:CF10)*CC3+SUM(CF12:CF19)*CC11+SUM(CF21:CF24)*CC20+SUM(CF26:CF32)*CC25+SUM(CF34:CF41)*CC33</f>
        <v>0.975</v>
      </c>
      <c r="CD42" s="95"/>
      <c r="CE42" s="96"/>
      <c r="CH42" s="92"/>
      <c r="CI42" s="92"/>
      <c r="CJ42" s="92"/>
      <c r="CK42" s="92"/>
      <c r="CL42" s="93"/>
      <c r="CM42" s="94" t="n">
        <f aca="false">SUM(CP4:CP10)*CM3+SUM(CP12:CP19)*CM11+SUM(CP21:CP24)*CM20+SUM(CP26:CP32)*CM25+SUM(CP34:CP41)*CM33</f>
        <v>0.975</v>
      </c>
      <c r="CN42" s="95"/>
      <c r="CO42" s="96"/>
      <c r="CR42" s="92"/>
      <c r="CS42" s="92"/>
      <c r="CT42" s="92"/>
      <c r="CU42" s="92"/>
      <c r="CV42" s="93"/>
      <c r="CW42" s="94" t="n">
        <f aca="false">SUM(CZ4:CZ10)*CW3+SUM(CZ12:CZ19)*CW11+SUM(CZ21:CZ24)*CW20+SUM(CZ26:CZ32)*CW25+SUM(CZ34:CZ41)*CW33</f>
        <v>0.975</v>
      </c>
      <c r="CX42" s="95"/>
      <c r="CY42" s="96"/>
      <c r="DB42" s="92"/>
      <c r="DC42" s="92"/>
      <c r="DD42" s="92"/>
      <c r="DE42" s="92"/>
      <c r="DF42" s="93"/>
      <c r="DG42" s="94" t="n">
        <f aca="false">SUM(DJ4:DJ10)*DG3+SUM(DJ12:DJ19)*DG11+SUM(DJ21:DJ24)*DG20+SUM(DJ26:DJ32)*DG25+SUM(DJ34:DJ41)*DG33</f>
        <v>0.975</v>
      </c>
      <c r="DH42" s="95"/>
      <c r="DI42" s="96"/>
      <c r="DL42" s="92"/>
      <c r="DM42" s="92"/>
      <c r="DN42" s="92"/>
      <c r="DO42" s="92"/>
      <c r="DP42" s="93"/>
      <c r="DQ42" s="94" t="n">
        <f aca="false">SUM(DT4:DT10)*DQ3+SUM(DT12:DT19)*DQ11+SUM(DT21:DT24)*DQ20+SUM(DT26:DT32)*DQ25+SUM(DT34:DT41)*DQ33</f>
        <v>0.975</v>
      </c>
      <c r="DR42" s="95"/>
      <c r="DS42" s="96"/>
      <c r="DV42" s="92"/>
      <c r="DW42" s="92"/>
      <c r="DX42" s="92"/>
      <c r="DY42" s="92"/>
      <c r="DZ42" s="93"/>
      <c r="EA42" s="94" t="n">
        <f aca="false">SUM(ED4:ED10)*EA3+SUM(ED12:ED19)*EA11+SUM(ED21:ED24)*EA20+SUM(ED26:ED32)*EA25+SUM(ED34:ED41)*EA33</f>
        <v>0.975</v>
      </c>
      <c r="EB42" s="95"/>
      <c r="EC42" s="96"/>
      <c r="EF42" s="92"/>
      <c r="EG42" s="92"/>
      <c r="EH42" s="92"/>
      <c r="EI42" s="92"/>
      <c r="EJ42" s="93"/>
      <c r="EK42" s="94" t="n">
        <f aca="false">SUM(EN4:EN10)*EK3+SUM(EN12:EN19)*EK11+SUM(EN21:EN24)*EK20+SUM(EN26:EN32)*EK25+SUM(EN34:EN41)*EK33</f>
        <v>0.975</v>
      </c>
      <c r="EL42" s="95"/>
      <c r="EM42" s="96"/>
      <c r="EP42" s="92"/>
      <c r="EQ42" s="92"/>
      <c r="ER42" s="92"/>
      <c r="ES42" s="92"/>
      <c r="ET42" s="93"/>
      <c r="EU42" s="94" t="n">
        <f aca="false">SUM(EX4:EX10)*EU3+SUM(EX12:EX19)*EU11+SUM(EX21:EX24)*EU20+SUM(EX26:EX32)*EU25+SUM(EX34:EX41)*EU33</f>
        <v>0.975</v>
      </c>
      <c r="EV42" s="95"/>
      <c r="EW42" s="96"/>
      <c r="EZ42" s="92"/>
      <c r="FA42" s="92"/>
      <c r="FB42" s="92"/>
      <c r="FC42" s="92"/>
      <c r="FD42" s="93"/>
      <c r="FE42" s="94" t="n">
        <f aca="false">SUM(FH4:FH10)*FE3+SUM(FH12:FH19)*FE11+SUM(FH21:FH24)*FE20+SUM(FH26:FH32)*FE25+SUM(FH34:FH41)*FE33</f>
        <v>0.975</v>
      </c>
      <c r="FF42" s="95"/>
      <c r="FG42" s="96"/>
      <c r="FJ42" s="92"/>
      <c r="FK42" s="92"/>
      <c r="FL42" s="92"/>
      <c r="FM42" s="92"/>
      <c r="FN42" s="93"/>
      <c r="FO42" s="94" t="n">
        <f aca="false">SUM(FR4:FR10)*FO3+SUM(FR12:FR19)*FO11+SUM(FR21:FR24)*FO20+SUM(FR26:FR32)*FO25+SUM(FR34:FR41)*FO33</f>
        <v>0.975</v>
      </c>
      <c r="FP42" s="95"/>
      <c r="FQ42" s="96"/>
      <c r="FT42" s="92"/>
      <c r="FU42" s="92"/>
      <c r="FV42" s="92"/>
      <c r="FW42" s="92"/>
      <c r="FX42" s="93"/>
      <c r="FY42" s="94" t="n">
        <f aca="false">SUM(GB4:GB10)*FY3+SUM(GB12:GB19)*FY11+SUM(GB21:GB24)*FY20+SUM(GB26:GB32)*FY25+SUM(GB34:GB41)*FY33</f>
        <v>0.975</v>
      </c>
      <c r="FZ42" s="95"/>
      <c r="GA42" s="96"/>
      <c r="GD42" s="92"/>
      <c r="GE42" s="92"/>
      <c r="GF42" s="92"/>
      <c r="GG42" s="92"/>
      <c r="GH42" s="93"/>
      <c r="GI42" s="94" t="n">
        <f aca="false">SUM(GL4:GL10)*GI3+SUM(GL12:GL19)*GI11+SUM(GL21:GL24)*GI20+SUM(GL26:GL32)*GI25+SUM(GL34:GL41)*GI33</f>
        <v>0.975</v>
      </c>
      <c r="GJ42" s="95"/>
      <c r="GK42" s="96"/>
      <c r="GN42" s="92"/>
      <c r="GO42" s="92"/>
      <c r="GP42" s="92"/>
      <c r="GQ42" s="92"/>
      <c r="GR42" s="93"/>
      <c r="GS42" s="94" t="n">
        <f aca="false">SUM(GV4:GV10)*GS3+SUM(GV12:GV19)*GS11+SUM(GV21:GV24)*GS20+SUM(GV26:GV32)*GS25+SUM(GV34:GV41)*GS33</f>
        <v>0.975</v>
      </c>
      <c r="GT42" s="95"/>
      <c r="GU42" s="96"/>
      <c r="GX42" s="92"/>
      <c r="GY42" s="92"/>
      <c r="GZ42" s="92"/>
      <c r="HA42" s="92"/>
      <c r="HB42" s="93"/>
      <c r="HC42" s="94" t="n">
        <f aca="false">SUM(HF4:HF10)*HC3+SUM(HF12:HF19)*HC11+SUM(HF21:HF24)*HC20+SUM(HF26:HF32)*HC25+SUM(HF34:HF41)*HC33</f>
        <v>0.975</v>
      </c>
      <c r="HD42" s="95"/>
      <c r="HE42" s="96"/>
      <c r="HH42" s="92"/>
      <c r="HI42" s="92"/>
      <c r="HJ42" s="92"/>
      <c r="HK42" s="92"/>
      <c r="HL42" s="93"/>
      <c r="HM42" s="94" t="n">
        <f aca="false">SUM(HP4:HP10)*HM3+SUM(HP12:HP19)*HM11+SUM(HP21:HP24)*HM20+SUM(HP26:HP32)*HM25+SUM(HP34:HP41)*HM33</f>
        <v>0.975</v>
      </c>
      <c r="HN42" s="95"/>
      <c r="HO42" s="96"/>
      <c r="HR42" s="92"/>
      <c r="HS42" s="92"/>
      <c r="HT42" s="92"/>
      <c r="HU42" s="92"/>
      <c r="HV42" s="93"/>
      <c r="HW42" s="94" t="n">
        <f aca="false">SUM(HZ4:HZ10)*HW3+SUM(HZ12:HZ19)*HW11+SUM(HZ21:HZ24)*HW20+SUM(HZ26:HZ32)*HW25+SUM(HZ34:HZ41)*HW33</f>
        <v>0.975</v>
      </c>
      <c r="HX42" s="95"/>
      <c r="HY42" s="96"/>
      <c r="IB42" s="92"/>
      <c r="IC42" s="92"/>
      <c r="ID42" s="92"/>
      <c r="IE42" s="92"/>
      <c r="IF42" s="93"/>
      <c r="IG42" s="94" t="n">
        <f aca="false">SUM(IJ4:IJ10)*IG3+SUM(IJ12:IJ19)*IG11+SUM(IJ21:IJ24)*IG20+SUM(IJ26:IJ32)*IG25+SUM(IJ34:IJ41)*IG33</f>
        <v>0.975</v>
      </c>
      <c r="IH42" s="95"/>
      <c r="II42" s="96"/>
    </row>
    <row r="43" s="102" customFormat="true" ht="24.75" hidden="false" customHeight="true" outlineLevel="0" collapsed="false">
      <c r="A43" s="83"/>
      <c r="B43" s="81"/>
      <c r="C43" s="89"/>
      <c r="D43" s="97"/>
      <c r="E43" s="98"/>
      <c r="F43" s="99" t="s">
        <v>9</v>
      </c>
      <c r="G43" s="97"/>
      <c r="H43" s="100" t="n">
        <f aca="false">(L3+L11+L20+L25+L33)/(N3+N11+N20+N25+N33)</f>
        <v>0</v>
      </c>
      <c r="I43" s="100"/>
      <c r="J43" s="100"/>
      <c r="K43" s="101" t="s">
        <v>95</v>
      </c>
      <c r="N43" s="103"/>
      <c r="O43" s="104"/>
      <c r="P43" s="99" t="s">
        <v>9</v>
      </c>
      <c r="Q43" s="97"/>
      <c r="R43" s="100" t="n">
        <f aca="false">(V3+V11+V20+V25+V33)/(X3+X11+X20+X25+X33)</f>
        <v>0</v>
      </c>
      <c r="S43" s="100"/>
      <c r="T43" s="100"/>
      <c r="U43" s="101" t="s">
        <v>95</v>
      </c>
      <c r="X43" s="103"/>
      <c r="Y43" s="104"/>
      <c r="Z43" s="99" t="s">
        <v>9</v>
      </c>
      <c r="AA43" s="97"/>
      <c r="AB43" s="100" t="n">
        <f aca="false">(AF3+AF11+AF20+AF25+AF33)/(AH3+AH11+AH20+AH25+AH33)</f>
        <v>0</v>
      </c>
      <c r="AC43" s="100"/>
      <c r="AD43" s="100"/>
      <c r="AE43" s="101" t="s">
        <v>95</v>
      </c>
      <c r="AH43" s="103"/>
      <c r="AI43" s="104"/>
      <c r="AJ43" s="99" t="s">
        <v>9</v>
      </c>
      <c r="AK43" s="97"/>
      <c r="AL43" s="100" t="n">
        <f aca="false">(AP3+AP11+AP20+AP25+AP33)/(AR3+AR11+AR20+AR25+AR33)</f>
        <v>0</v>
      </c>
      <c r="AM43" s="100"/>
      <c r="AN43" s="100"/>
      <c r="AO43" s="101" t="s">
        <v>95</v>
      </c>
      <c r="AR43" s="103"/>
      <c r="AS43" s="104"/>
      <c r="AT43" s="99" t="s">
        <v>9</v>
      </c>
      <c r="AU43" s="97"/>
      <c r="AV43" s="100" t="n">
        <f aca="false">(AZ3+AZ11+AZ20+AZ25+AZ33)/(BB3+BB11+BB20+BB25+BB33)</f>
        <v>0</v>
      </c>
      <c r="AW43" s="100"/>
      <c r="AX43" s="100"/>
      <c r="AY43" s="101" t="s">
        <v>95</v>
      </c>
      <c r="BB43" s="103"/>
      <c r="BC43" s="104"/>
      <c r="BD43" s="99" t="s">
        <v>9</v>
      </c>
      <c r="BE43" s="97"/>
      <c r="BF43" s="100" t="n">
        <f aca="false">(BJ3+BJ11+BJ20+BJ25+BJ33)/(BL3+BL11+BL20+BL25+BL33)</f>
        <v>0</v>
      </c>
      <c r="BG43" s="100"/>
      <c r="BH43" s="100"/>
      <c r="BI43" s="101" t="s">
        <v>95</v>
      </c>
      <c r="BL43" s="103"/>
      <c r="BM43" s="104"/>
      <c r="BN43" s="99" t="s">
        <v>9</v>
      </c>
      <c r="BO43" s="97"/>
      <c r="BP43" s="100" t="n">
        <f aca="false">(BT3+BT11+BT20+BT25+BT33)/(BV3+BV11+BV20+BV25+BV33)</f>
        <v>0</v>
      </c>
      <c r="BQ43" s="100"/>
      <c r="BR43" s="100"/>
      <c r="BS43" s="101" t="s">
        <v>95</v>
      </c>
      <c r="BV43" s="103"/>
      <c r="BW43" s="104"/>
      <c r="BX43" s="99" t="s">
        <v>9</v>
      </c>
      <c r="BY43" s="97"/>
      <c r="BZ43" s="100" t="n">
        <f aca="false">(CD3+CD11+CD20+CD25+CD33)/(CF3+CF11+CF20+CF25+CF33)</f>
        <v>0</v>
      </c>
      <c r="CA43" s="100"/>
      <c r="CB43" s="100"/>
      <c r="CC43" s="101" t="s">
        <v>95</v>
      </c>
      <c r="CF43" s="103"/>
      <c r="CG43" s="104"/>
      <c r="CH43" s="99" t="s">
        <v>9</v>
      </c>
      <c r="CI43" s="97"/>
      <c r="CJ43" s="100" t="n">
        <f aca="false">(CN3+CN11+CN20+CN25+CN33)/(CP3+CP11+CP20+CP25+CP33)</f>
        <v>0</v>
      </c>
      <c r="CK43" s="100"/>
      <c r="CL43" s="100"/>
      <c r="CM43" s="101" t="s">
        <v>95</v>
      </c>
      <c r="CP43" s="103"/>
      <c r="CQ43" s="104"/>
      <c r="CR43" s="99" t="s">
        <v>9</v>
      </c>
      <c r="CS43" s="97"/>
      <c r="CT43" s="100" t="n">
        <f aca="false">(CX3+CX11+CX20+CX25+CX33)/(CZ3+CZ11+CZ20+CZ25+CZ33)</f>
        <v>0</v>
      </c>
      <c r="CU43" s="100"/>
      <c r="CV43" s="100"/>
      <c r="CW43" s="101" t="s">
        <v>95</v>
      </c>
      <c r="CZ43" s="103"/>
      <c r="DA43" s="104"/>
      <c r="DB43" s="99" t="s">
        <v>9</v>
      </c>
      <c r="DC43" s="97"/>
      <c r="DD43" s="100" t="n">
        <f aca="false">(DH3+DH11+DH20+DH25+DH33)/(DJ3+DJ11+DJ20+DJ25+DJ33)</f>
        <v>0</v>
      </c>
      <c r="DE43" s="100"/>
      <c r="DF43" s="100"/>
      <c r="DG43" s="101" t="s">
        <v>95</v>
      </c>
      <c r="DJ43" s="103"/>
      <c r="DK43" s="104"/>
      <c r="DL43" s="99" t="s">
        <v>9</v>
      </c>
      <c r="DM43" s="97"/>
      <c r="DN43" s="100" t="n">
        <f aca="false">(DR3+DR11+DR20+DR25+DR33)/(DT3+DT11+DT20+DT25+DT33)</f>
        <v>0</v>
      </c>
      <c r="DO43" s="100"/>
      <c r="DP43" s="100"/>
      <c r="DQ43" s="101" t="s">
        <v>95</v>
      </c>
      <c r="DT43" s="103"/>
      <c r="DU43" s="104"/>
      <c r="DV43" s="99" t="s">
        <v>9</v>
      </c>
      <c r="DW43" s="97"/>
      <c r="DX43" s="100" t="n">
        <f aca="false">(EB3+EB11+EB20+EB25+EB33)/(ED3+ED11+ED20+ED25+ED33)</f>
        <v>0</v>
      </c>
      <c r="DY43" s="100"/>
      <c r="DZ43" s="100"/>
      <c r="EA43" s="101" t="s">
        <v>95</v>
      </c>
      <c r="ED43" s="103"/>
      <c r="EE43" s="104"/>
      <c r="EF43" s="99" t="s">
        <v>9</v>
      </c>
      <c r="EG43" s="97"/>
      <c r="EH43" s="100" t="n">
        <f aca="false">(EL3+EL11+EL20+EL25+EL33)/(EN3+EN11+EN20+EN25+EN33)</f>
        <v>0</v>
      </c>
      <c r="EI43" s="100"/>
      <c r="EJ43" s="100"/>
      <c r="EK43" s="101" t="s">
        <v>95</v>
      </c>
      <c r="EN43" s="103"/>
      <c r="EO43" s="104"/>
      <c r="EP43" s="99" t="s">
        <v>9</v>
      </c>
      <c r="EQ43" s="97"/>
      <c r="ER43" s="100" t="n">
        <f aca="false">(EV3+EV11+EV20+EV25+EV33)/(EX3+EX11+EX20+EX25+EX33)</f>
        <v>0</v>
      </c>
      <c r="ES43" s="100"/>
      <c r="ET43" s="100"/>
      <c r="EU43" s="101" t="s">
        <v>95</v>
      </c>
      <c r="EX43" s="103"/>
      <c r="EY43" s="104"/>
      <c r="EZ43" s="99" t="s">
        <v>9</v>
      </c>
      <c r="FA43" s="97"/>
      <c r="FB43" s="100" t="n">
        <f aca="false">(FF3+FF11+FF20+FF25+FF33)/(FH3+FH11+FH20+FH25+FH33)</f>
        <v>0</v>
      </c>
      <c r="FC43" s="100"/>
      <c r="FD43" s="100"/>
      <c r="FE43" s="101" t="s">
        <v>95</v>
      </c>
      <c r="FH43" s="103"/>
      <c r="FI43" s="104"/>
      <c r="FJ43" s="99" t="s">
        <v>9</v>
      </c>
      <c r="FK43" s="97"/>
      <c r="FL43" s="100" t="n">
        <f aca="false">(FP3+FP11+FP20+FP25+FP33)/(FR3+FR11+FR20+FR25+FR33)</f>
        <v>0</v>
      </c>
      <c r="FM43" s="100"/>
      <c r="FN43" s="100"/>
      <c r="FO43" s="101" t="s">
        <v>95</v>
      </c>
      <c r="FR43" s="103"/>
      <c r="FS43" s="104"/>
      <c r="FT43" s="99" t="s">
        <v>9</v>
      </c>
      <c r="FU43" s="97"/>
      <c r="FV43" s="100" t="n">
        <f aca="false">(FZ3+FZ11+FZ20+FZ25+FZ33)/(GB3+GB11+GB20+GB25+GB33)</f>
        <v>0</v>
      </c>
      <c r="FW43" s="100"/>
      <c r="FX43" s="100"/>
      <c r="FY43" s="101" t="s">
        <v>95</v>
      </c>
      <c r="GB43" s="103"/>
      <c r="GC43" s="104"/>
      <c r="GD43" s="99" t="s">
        <v>9</v>
      </c>
      <c r="GE43" s="97"/>
      <c r="GF43" s="100" t="n">
        <f aca="false">(GJ3+GJ11+GJ20+GJ25+GJ33)/(GL3+GL11+GL20+GL25+GL33)</f>
        <v>0</v>
      </c>
      <c r="GG43" s="100"/>
      <c r="GH43" s="100"/>
      <c r="GI43" s="101" t="s">
        <v>95</v>
      </c>
      <c r="GL43" s="103"/>
      <c r="GM43" s="104"/>
      <c r="GN43" s="99" t="s">
        <v>9</v>
      </c>
      <c r="GO43" s="97"/>
      <c r="GP43" s="100" t="n">
        <f aca="false">(GT3+GT11+GT20+GT25+GT33)/(GV3+GV11+GV20+GV25+GV33)</f>
        <v>0</v>
      </c>
      <c r="GQ43" s="100"/>
      <c r="GR43" s="100"/>
      <c r="GS43" s="101" t="s">
        <v>95</v>
      </c>
      <c r="GV43" s="103"/>
      <c r="GW43" s="104"/>
      <c r="GX43" s="99" t="s">
        <v>9</v>
      </c>
      <c r="GY43" s="97"/>
      <c r="GZ43" s="100" t="n">
        <f aca="false">(HD3+HD11+HD20+HD25+HD33)/(HF3+HF11+HF20+HF25+HF33)</f>
        <v>0</v>
      </c>
      <c r="HA43" s="100"/>
      <c r="HB43" s="100"/>
      <c r="HC43" s="101" t="s">
        <v>95</v>
      </c>
      <c r="HF43" s="103"/>
      <c r="HG43" s="104"/>
      <c r="HH43" s="99" t="s">
        <v>9</v>
      </c>
      <c r="HI43" s="97"/>
      <c r="HJ43" s="100" t="n">
        <f aca="false">(HN3+HN11+HN20+HN25+HN33)/(HP3+HP11+HP20+HP25+HP33)</f>
        <v>0</v>
      </c>
      <c r="HK43" s="100"/>
      <c r="HL43" s="100"/>
      <c r="HM43" s="101" t="s">
        <v>95</v>
      </c>
      <c r="HP43" s="103"/>
      <c r="HQ43" s="104"/>
      <c r="HR43" s="99" t="s">
        <v>9</v>
      </c>
      <c r="HS43" s="97"/>
      <c r="HT43" s="100" t="n">
        <f aca="false">(HX3+HX11+HX20+HX25+HX33)/(HZ3+HZ11+HZ20+HZ25+HZ33)</f>
        <v>0</v>
      </c>
      <c r="HU43" s="100"/>
      <c r="HV43" s="100"/>
      <c r="HW43" s="101" t="s">
        <v>95</v>
      </c>
      <c r="HZ43" s="103"/>
      <c r="IA43" s="104"/>
      <c r="IB43" s="99" t="s">
        <v>9</v>
      </c>
      <c r="IC43" s="97"/>
      <c r="ID43" s="100" t="n">
        <f aca="false">(IH3+IH11+IH20+IH25+IH33)/(IJ3+IJ11+IJ20+IJ25+IJ33)</f>
        <v>0</v>
      </c>
      <c r="IE43" s="100"/>
      <c r="IF43" s="100"/>
      <c r="IG43" s="101" t="s">
        <v>95</v>
      </c>
      <c r="IJ43" s="103"/>
      <c r="IK43" s="104"/>
    </row>
    <row r="44" customFormat="false" ht="18" hidden="false" customHeight="false" outlineLevel="0" collapsed="false">
      <c r="A44" s="83"/>
      <c r="B44" s="81"/>
      <c r="C44" s="89"/>
    </row>
    <row r="45" customFormat="false" ht="18" hidden="false" customHeight="false" outlineLevel="0" collapsed="false">
      <c r="A45" s="83"/>
      <c r="B45" s="81"/>
      <c r="C45" s="89"/>
      <c r="D45" s="6"/>
      <c r="E45" s="75"/>
      <c r="G45" s="7"/>
      <c r="H45" s="8"/>
      <c r="K45" s="2"/>
      <c r="N45" s="6"/>
      <c r="O45" s="2"/>
      <c r="Q45" s="7"/>
      <c r="R45" s="8"/>
      <c r="U45" s="2"/>
      <c r="X45" s="6"/>
      <c r="Y45" s="2"/>
      <c r="AA45" s="7"/>
      <c r="AB45" s="8"/>
      <c r="AE45" s="2"/>
    </row>
    <row r="46" customFormat="false" ht="19.5" hidden="false" customHeight="true" outlineLevel="0" collapsed="false">
      <c r="A46" s="83"/>
      <c r="B46" s="81"/>
      <c r="C46" s="89"/>
    </row>
    <row r="47" customFormat="false" ht="18" hidden="false" customHeight="false" outlineLevel="0" collapsed="false">
      <c r="A47" s="83"/>
      <c r="B47" s="81"/>
      <c r="C47" s="89"/>
    </row>
    <row r="48" customFormat="false" ht="18" hidden="false" customHeight="false" outlineLevel="0" collapsed="false">
      <c r="A48" s="83"/>
      <c r="B48" s="81"/>
      <c r="C48" s="89"/>
    </row>
    <row r="49" customFormat="false" ht="18" hidden="false" customHeight="false" outlineLevel="0" collapsed="false">
      <c r="A49" s="83"/>
      <c r="B49" s="81"/>
      <c r="C49" s="89"/>
    </row>
    <row r="50" customFormat="false" ht="18" hidden="false" customHeight="false" outlineLevel="0" collapsed="false">
      <c r="A50" s="83"/>
      <c r="B50" s="81"/>
      <c r="C50" s="89"/>
    </row>
    <row r="51" customFormat="false" ht="24.45" hidden="false" customHeight="false" outlineLevel="0" collapsed="false">
      <c r="A51" s="105"/>
      <c r="B51" s="106"/>
      <c r="C51" s="107"/>
    </row>
    <row r="52" customFormat="false" ht="18" hidden="false" customHeight="false" outlineLevel="0" collapsed="false">
      <c r="A52" s="83"/>
      <c r="B52" s="81"/>
      <c r="C52" s="107"/>
    </row>
    <row r="53" customFormat="false" ht="18" hidden="false" customHeight="false" outlineLevel="0" collapsed="false">
      <c r="A53" s="81"/>
      <c r="B53" s="81"/>
      <c r="C53" s="107"/>
    </row>
    <row r="54" customFormat="false" ht="18" hidden="false" customHeight="false" outlineLevel="0" collapsed="false">
      <c r="A54" s="83"/>
      <c r="B54" s="81"/>
      <c r="C54" s="107"/>
    </row>
  </sheetData>
  <mergeCells count="58">
    <mergeCell ref="C1:E1"/>
    <mergeCell ref="F1:O1"/>
    <mergeCell ref="P1:Y1"/>
    <mergeCell ref="Z1:AI1"/>
    <mergeCell ref="AJ1:AS1"/>
    <mergeCell ref="AT1:BC1"/>
    <mergeCell ref="BD1:BM1"/>
    <mergeCell ref="BN1:BW1"/>
    <mergeCell ref="BX1:CG1"/>
    <mergeCell ref="CH1:CQ1"/>
    <mergeCell ref="CR1:DA1"/>
    <mergeCell ref="DB1:DK1"/>
    <mergeCell ref="DL1:DU1"/>
    <mergeCell ref="DV1:EE1"/>
    <mergeCell ref="EF1:EO1"/>
    <mergeCell ref="EP1:EY1"/>
    <mergeCell ref="EZ1:FI1"/>
    <mergeCell ref="FJ1:FS1"/>
    <mergeCell ref="FT1:GC1"/>
    <mergeCell ref="GD1:GM1"/>
    <mergeCell ref="GN1:GW1"/>
    <mergeCell ref="GX1:HG1"/>
    <mergeCell ref="HH1:HQ1"/>
    <mergeCell ref="HR1:IA1"/>
    <mergeCell ref="IB1:IK1"/>
    <mergeCell ref="C2:D2"/>
    <mergeCell ref="D7:D9"/>
    <mergeCell ref="D14:D15"/>
    <mergeCell ref="D16:D17"/>
    <mergeCell ref="D21:D22"/>
    <mergeCell ref="D26:D28"/>
    <mergeCell ref="D31:D32"/>
    <mergeCell ref="D37:D39"/>
    <mergeCell ref="D40:D41"/>
    <mergeCell ref="H43:J43"/>
    <mergeCell ref="R43:T43"/>
    <mergeCell ref="AB43:AD43"/>
    <mergeCell ref="AL43:AN43"/>
    <mergeCell ref="AV43:AX43"/>
    <mergeCell ref="BF43:BH43"/>
    <mergeCell ref="BP43:BR43"/>
    <mergeCell ref="BZ43:CB43"/>
    <mergeCell ref="CJ43:CL43"/>
    <mergeCell ref="CT43:CV43"/>
    <mergeCell ref="DD43:DF43"/>
    <mergeCell ref="DN43:DP43"/>
    <mergeCell ref="DX43:DZ43"/>
    <mergeCell ref="EH43:EJ43"/>
    <mergeCell ref="ER43:ET43"/>
    <mergeCell ref="FB43:FD43"/>
    <mergeCell ref="FL43:FN43"/>
    <mergeCell ref="FV43:FX43"/>
    <mergeCell ref="GF43:GH43"/>
    <mergeCell ref="GP43:GR43"/>
    <mergeCell ref="GZ43:HB43"/>
    <mergeCell ref="HJ43:HL43"/>
    <mergeCell ref="HT43:HV43"/>
    <mergeCell ref="ID43:IF43"/>
  </mergeCells>
  <printOptions headings="false" gridLines="false" gridLinesSet="true" horizontalCentered="false" verticalCentered="false"/>
  <pageMargins left="0.315277777777778" right="0.315277777777778" top="0.196527777777778" bottom="0.354166666666667" header="0.511811023622047" footer="0.511811023622047"/>
  <pageSetup paperSize="8" scale="100" fitToWidth="0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2026-03-11T03:49:04Z</dcterms:created>
  <dc:creator>Pascale GALVA</dc:creator>
  <dc:description/>
  <dc:language>fr-FR</dc:language>
  <cp:lastModifiedBy>Frantz ARMANGE</cp:lastModifiedBy>
  <dcterms:modified xsi:type="dcterms:W3CDTF">2026-05-15T13:15:05Z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